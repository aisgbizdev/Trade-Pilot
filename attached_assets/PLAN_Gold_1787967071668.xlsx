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8001_{C80A7AD0-2DCE-42FD-AE75-844AB648C231}" xr6:coauthVersionLast="47" xr6:coauthVersionMax="47" xr10:uidLastSave="{00000000-0000-0000-0000-000000000000}"/>
  <bookViews>
    <workbookView xWindow="-120" yWindow="-120" windowWidth="24240" windowHeight="13140" tabRatio="750" activeTab="1" xr2:uid="{00000000-000D-0000-FFFF-FFFF00000000}"/>
  </bookViews>
  <sheets>
    <sheet name="B3G" sheetId="20" r:id="rId1"/>
    <sheet name="B4G" sheetId="21" r:id="rId2"/>
    <sheet name="B5G" sheetId="22" r:id="rId3"/>
    <sheet name="B8G" sheetId="26" r:id="rId4"/>
    <sheet name="S3G" sheetId="23" r:id="rId5"/>
    <sheet name="S4G" sheetId="24" r:id="rId6"/>
    <sheet name="S5G" sheetId="19" r:id="rId7"/>
    <sheet name="Sheet1" sheetId="27" r:id="rId8"/>
    <sheet name="YEN" sheetId="28" r:id="rId9"/>
    <sheet name="Sheet2" sheetId="29" r:id="rId10"/>
  </sheets>
  <definedNames>
    <definedName name="_xlnm.Print_Area" localSheetId="0">B3G!$A$1:$S$37</definedName>
    <definedName name="_xlnm.Print_Area" localSheetId="1">B4G!$A$1:$S$43</definedName>
    <definedName name="_xlnm.Print_Area" localSheetId="2">B5G!$A$2:$S$46</definedName>
    <definedName name="_xlnm.Print_Area" localSheetId="3">B8G!$B$1:$S$57</definedName>
    <definedName name="_xlnm.Print_Area" localSheetId="4">S3G!$A$2:$S$45</definedName>
    <definedName name="_xlnm.Print_Area" localSheetId="5">S4G!$B$1:$S$42</definedName>
    <definedName name="_xlnm.Print_Area" localSheetId="6">S5G!$B$1:$S$47</definedName>
    <definedName name="_xlnm.Print_Area" localSheetId="9">Sheet2!$B$1:$S$36</definedName>
    <definedName name="_xlnm.Print_Area" localSheetId="8">YEN!$A$2:$S$46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21" l="1"/>
  <c r="D18" i="20"/>
  <c r="D19" i="20"/>
  <c r="D20" i="20"/>
  <c r="F18" i="20"/>
  <c r="F19" i="20"/>
  <c r="F20" i="20"/>
  <c r="N6" i="20"/>
  <c r="N27" i="21"/>
  <c r="F27" i="21"/>
  <c r="D27" i="21"/>
  <c r="N30" i="21"/>
  <c r="N29" i="21"/>
  <c r="N28" i="21"/>
  <c r="N23" i="21"/>
  <c r="N22" i="21"/>
  <c r="N21" i="21"/>
  <c r="N20" i="21"/>
  <c r="N12" i="21"/>
  <c r="N10" i="21"/>
  <c r="N8" i="21"/>
  <c r="N6" i="21"/>
  <c r="F20" i="21"/>
  <c r="D20" i="21"/>
  <c r="N11" i="24"/>
  <c r="N9" i="24"/>
  <c r="F20" i="29"/>
  <c r="F19" i="29"/>
  <c r="H19" i="29" s="1"/>
  <c r="S19" i="29" s="1"/>
  <c r="D19" i="29"/>
  <c r="D20" i="29"/>
  <c r="D26" i="29"/>
  <c r="D25" i="29"/>
  <c r="B37" i="29"/>
  <c r="S32" i="29"/>
  <c r="C32" i="29"/>
  <c r="C31" i="29"/>
  <c r="N26" i="29"/>
  <c r="F26" i="29"/>
  <c r="N25" i="29"/>
  <c r="F25" i="29"/>
  <c r="N24" i="29"/>
  <c r="F24" i="29"/>
  <c r="D24" i="29"/>
  <c r="N20" i="29"/>
  <c r="N19" i="29"/>
  <c r="N18" i="29"/>
  <c r="F18" i="29"/>
  <c r="D18" i="29"/>
  <c r="D12" i="29"/>
  <c r="N10" i="29"/>
  <c r="V8" i="29"/>
  <c r="N8" i="29"/>
  <c r="N6" i="29"/>
  <c r="F28" i="21"/>
  <c r="D29" i="21"/>
  <c r="F23" i="21"/>
  <c r="F22" i="21"/>
  <c r="F21" i="21"/>
  <c r="D21" i="21"/>
  <c r="B46" i="28"/>
  <c r="N35" i="28"/>
  <c r="F35" i="28"/>
  <c r="D35" i="28"/>
  <c r="N34" i="28"/>
  <c r="F34" i="28"/>
  <c r="D34" i="28"/>
  <c r="N33" i="28"/>
  <c r="F33" i="28"/>
  <c r="D33" i="28"/>
  <c r="N32" i="28"/>
  <c r="F32" i="28"/>
  <c r="D32" i="28"/>
  <c r="N31" i="28"/>
  <c r="F31" i="28"/>
  <c r="D31" i="28"/>
  <c r="N27" i="28"/>
  <c r="F27" i="28"/>
  <c r="D27" i="28"/>
  <c r="N26" i="28"/>
  <c r="F26" i="28"/>
  <c r="D26" i="28"/>
  <c r="N25" i="28"/>
  <c r="F25" i="28"/>
  <c r="D25" i="28"/>
  <c r="N24" i="28"/>
  <c r="F24" i="28"/>
  <c r="D24" i="28"/>
  <c r="N23" i="28"/>
  <c r="F23" i="28"/>
  <c r="D23" i="28"/>
  <c r="D17" i="28"/>
  <c r="C41" i="28" s="1"/>
  <c r="N15" i="28"/>
  <c r="N13" i="28"/>
  <c r="N11" i="28"/>
  <c r="V9" i="28"/>
  <c r="N9" i="28"/>
  <c r="N7" i="28"/>
  <c r="D31" i="22"/>
  <c r="F31" i="22"/>
  <c r="D22" i="21"/>
  <c r="D23" i="21"/>
  <c r="D28" i="21"/>
  <c r="D30" i="21"/>
  <c r="D28" i="24"/>
  <c r="F26" i="20"/>
  <c r="D24" i="20"/>
  <c r="D25" i="20"/>
  <c r="D26" i="20"/>
  <c r="F24" i="20"/>
  <c r="N46" i="26"/>
  <c r="N45" i="26"/>
  <c r="N44" i="26"/>
  <c r="N43" i="26"/>
  <c r="D46" i="26"/>
  <c r="D45" i="26"/>
  <c r="D44" i="26"/>
  <c r="N35" i="26"/>
  <c r="N34" i="26"/>
  <c r="N33" i="26"/>
  <c r="N32" i="26"/>
  <c r="N14" i="26"/>
  <c r="N16" i="26"/>
  <c r="N18" i="26"/>
  <c r="B57" i="26"/>
  <c r="D43" i="26"/>
  <c r="N42" i="26"/>
  <c r="D42" i="26"/>
  <c r="N41" i="26"/>
  <c r="D41" i="26"/>
  <c r="N40" i="26"/>
  <c r="D40" i="26"/>
  <c r="N39" i="26"/>
  <c r="F39" i="26"/>
  <c r="D39" i="26"/>
  <c r="H39" i="26" s="1"/>
  <c r="S39" i="26" s="1"/>
  <c r="N31" i="26"/>
  <c r="N30" i="26"/>
  <c r="N29" i="26"/>
  <c r="N28" i="26"/>
  <c r="D28" i="26"/>
  <c r="D22" i="26"/>
  <c r="S52" i="26" s="1"/>
  <c r="N20" i="26"/>
  <c r="N12" i="26"/>
  <c r="N10" i="26"/>
  <c r="V8" i="26"/>
  <c r="N8" i="26"/>
  <c r="F40" i="26"/>
  <c r="N6" i="26"/>
  <c r="D18" i="19"/>
  <c r="C42" i="19" s="1"/>
  <c r="D24" i="19"/>
  <c r="D26" i="19"/>
  <c r="N24" i="19"/>
  <c r="N25" i="19"/>
  <c r="N26" i="19"/>
  <c r="N27" i="19"/>
  <c r="N28" i="19"/>
  <c r="D32" i="19"/>
  <c r="F32" i="19"/>
  <c r="N32" i="19"/>
  <c r="F33" i="19"/>
  <c r="N33" i="19"/>
  <c r="F34" i="19"/>
  <c r="N34" i="19"/>
  <c r="F35" i="19"/>
  <c r="N35" i="19"/>
  <c r="F36" i="19"/>
  <c r="N36" i="19"/>
  <c r="N14" i="19"/>
  <c r="N12" i="19"/>
  <c r="N10" i="19"/>
  <c r="V8" i="19"/>
  <c r="N8" i="19"/>
  <c r="N6" i="19"/>
  <c r="B42" i="24"/>
  <c r="D15" i="24"/>
  <c r="S37" i="24" s="1"/>
  <c r="D21" i="24"/>
  <c r="N21" i="24"/>
  <c r="D22" i="24"/>
  <c r="N22" i="24"/>
  <c r="N23" i="24"/>
  <c r="N24" i="24"/>
  <c r="F28" i="24"/>
  <c r="N28" i="24"/>
  <c r="F29" i="24"/>
  <c r="N29" i="24"/>
  <c r="F30" i="24"/>
  <c r="N30" i="24"/>
  <c r="F31" i="24"/>
  <c r="N31" i="24"/>
  <c r="N7" i="24"/>
  <c r="V5" i="24"/>
  <c r="V6" i="24" s="1"/>
  <c r="N5" i="24"/>
  <c r="D13" i="23"/>
  <c r="S33" i="23" s="1"/>
  <c r="D19" i="23"/>
  <c r="N19" i="23"/>
  <c r="D20" i="23"/>
  <c r="N20" i="23"/>
  <c r="N21" i="23"/>
  <c r="D25" i="23"/>
  <c r="F25" i="23"/>
  <c r="N25" i="23"/>
  <c r="D26" i="23"/>
  <c r="F26" i="23"/>
  <c r="N26" i="23"/>
  <c r="F27" i="23"/>
  <c r="N27" i="23"/>
  <c r="B46" i="22"/>
  <c r="D17" i="22"/>
  <c r="S41" i="22" s="1"/>
  <c r="D23" i="22"/>
  <c r="N23" i="22"/>
  <c r="N24" i="22"/>
  <c r="N25" i="22"/>
  <c r="N26" i="22"/>
  <c r="N27" i="22"/>
  <c r="N31" i="22"/>
  <c r="D32" i="22"/>
  <c r="F32" i="22"/>
  <c r="N32" i="22"/>
  <c r="D33" i="22"/>
  <c r="N33" i="22"/>
  <c r="D34" i="22"/>
  <c r="N34" i="22"/>
  <c r="D35" i="22"/>
  <c r="N35" i="22"/>
  <c r="V9" i="22"/>
  <c r="N9" i="22"/>
  <c r="N7" i="22"/>
  <c r="F29" i="21"/>
  <c r="H29" i="21" s="1"/>
  <c r="V10" i="21"/>
  <c r="B37" i="20"/>
  <c r="D12" i="20"/>
  <c r="S32" i="20" s="1"/>
  <c r="N18" i="20"/>
  <c r="N19" i="20"/>
  <c r="N20" i="20"/>
  <c r="C32" i="20"/>
  <c r="N24" i="20"/>
  <c r="N25" i="20"/>
  <c r="N26" i="20"/>
  <c r="N10" i="20"/>
  <c r="V8" i="20"/>
  <c r="N8" i="20"/>
  <c r="D24" i="22"/>
  <c r="D29" i="24"/>
  <c r="D29" i="26"/>
  <c r="D33" i="19"/>
  <c r="D25" i="19"/>
  <c r="D30" i="26"/>
  <c r="F41" i="26"/>
  <c r="D31" i="26"/>
  <c r="F25" i="19"/>
  <c r="F24" i="19"/>
  <c r="F28" i="19"/>
  <c r="F27" i="19"/>
  <c r="F26" i="19"/>
  <c r="F23" i="22"/>
  <c r="F26" i="22"/>
  <c r="F27" i="22"/>
  <c r="F24" i="22"/>
  <c r="F25" i="22"/>
  <c r="F33" i="22"/>
  <c r="D25" i="22"/>
  <c r="D26" i="22"/>
  <c r="F34" i="22"/>
  <c r="F35" i="22"/>
  <c r="D27" i="22"/>
  <c r="H27" i="22" s="1"/>
  <c r="H20" i="21" l="1"/>
  <c r="S20" i="21" s="1"/>
  <c r="H23" i="21"/>
  <c r="S23" i="21" s="1"/>
  <c r="H27" i="21"/>
  <c r="S27" i="21" s="1"/>
  <c r="S29" i="21"/>
  <c r="H28" i="21"/>
  <c r="S28" i="21" s="1"/>
  <c r="H34" i="28"/>
  <c r="S34" i="28" s="1"/>
  <c r="H18" i="29"/>
  <c r="S18" i="29" s="1"/>
  <c r="H20" i="29"/>
  <c r="S20" i="29" s="1"/>
  <c r="H26" i="29"/>
  <c r="S26" i="29" s="1"/>
  <c r="H25" i="29"/>
  <c r="S25" i="29" s="1"/>
  <c r="H24" i="29"/>
  <c r="S24" i="29" s="1"/>
  <c r="S36" i="21"/>
  <c r="C36" i="21"/>
  <c r="C31" i="20"/>
  <c r="H21" i="21"/>
  <c r="S21" i="21" s="1"/>
  <c r="H29" i="24"/>
  <c r="S29" i="24" s="1"/>
  <c r="H33" i="28"/>
  <c r="S33" i="28" s="1"/>
  <c r="H24" i="28"/>
  <c r="S24" i="28" s="1"/>
  <c r="H24" i="20"/>
  <c r="S24" i="20" s="1"/>
  <c r="H31" i="28"/>
  <c r="S31" i="28" s="1"/>
  <c r="H35" i="28"/>
  <c r="H25" i="28"/>
  <c r="S25" i="28" s="1"/>
  <c r="H23" i="28"/>
  <c r="S23" i="28" s="1"/>
  <c r="H27" i="28"/>
  <c r="S27" i="28" s="1"/>
  <c r="S35" i="28"/>
  <c r="S41" i="28"/>
  <c r="C40" i="28"/>
  <c r="H32" i="28"/>
  <c r="S32" i="28" s="1"/>
  <c r="H32" i="19"/>
  <c r="S32" i="19" s="1"/>
  <c r="H31" i="22"/>
  <c r="S31" i="22" s="1"/>
  <c r="H26" i="28"/>
  <c r="S26" i="28" s="1"/>
  <c r="H25" i="19"/>
  <c r="S25" i="19" s="1"/>
  <c r="H24" i="19"/>
  <c r="S24" i="19" s="1"/>
  <c r="D34" i="19"/>
  <c r="H34" i="19" s="1"/>
  <c r="S34" i="19" s="1"/>
  <c r="H33" i="19"/>
  <c r="S33" i="19" s="1"/>
  <c r="D28" i="19"/>
  <c r="H28" i="19" s="1"/>
  <c r="S28" i="19" s="1"/>
  <c r="D36" i="19"/>
  <c r="H36" i="19" s="1"/>
  <c r="S36" i="19" s="1"/>
  <c r="D35" i="19"/>
  <c r="H35" i="19" s="1"/>
  <c r="S35" i="19" s="1"/>
  <c r="H26" i="19"/>
  <c r="S26" i="19" s="1"/>
  <c r="D27" i="19"/>
  <c r="H27" i="19" s="1"/>
  <c r="S27" i="19" s="1"/>
  <c r="S42" i="19"/>
  <c r="C41" i="19"/>
  <c r="H41" i="26"/>
  <c r="S41" i="26" s="1"/>
  <c r="H40" i="26"/>
  <c r="S40" i="26" s="1"/>
  <c r="H24" i="22"/>
  <c r="S24" i="22" s="1"/>
  <c r="H26" i="22"/>
  <c r="S26" i="22" s="1"/>
  <c r="H28" i="24"/>
  <c r="S28" i="24" s="1"/>
  <c r="H32" i="22"/>
  <c r="S32" i="22" s="1"/>
  <c r="H23" i="22"/>
  <c r="S23" i="22" s="1"/>
  <c r="C36" i="24"/>
  <c r="H35" i="22"/>
  <c r="S35" i="22" s="1"/>
  <c r="H33" i="22"/>
  <c r="S33" i="22" s="1"/>
  <c r="H34" i="22"/>
  <c r="S34" i="22" s="1"/>
  <c r="H25" i="23"/>
  <c r="S25" i="23" s="1"/>
  <c r="C33" i="23"/>
  <c r="H26" i="23"/>
  <c r="S26" i="23" s="1"/>
  <c r="H25" i="22"/>
  <c r="S25" i="22" s="1"/>
  <c r="C40" i="22"/>
  <c r="F42" i="26"/>
  <c r="H42" i="26" s="1"/>
  <c r="S42" i="26" s="1"/>
  <c r="C51" i="26"/>
  <c r="C52" i="26"/>
  <c r="S27" i="22"/>
  <c r="C41" i="22"/>
  <c r="C32" i="23"/>
  <c r="C37" i="24"/>
  <c r="D32" i="26"/>
  <c r="F43" i="26"/>
  <c r="H43" i="26" s="1"/>
  <c r="S43" i="26" s="1"/>
  <c r="D30" i="24"/>
  <c r="H30" i="24" s="1"/>
  <c r="S30" i="24" s="1"/>
  <c r="D23" i="24"/>
  <c r="F25" i="20"/>
  <c r="H25" i="20" s="1"/>
  <c r="S25" i="20" s="1"/>
  <c r="D21" i="23"/>
  <c r="D27" i="23"/>
  <c r="H27" i="23" s="1"/>
  <c r="S27" i="23" s="1"/>
  <c r="F30" i="21"/>
  <c r="H30" i="21" s="1"/>
  <c r="S30" i="21" s="1"/>
  <c r="H26" i="20"/>
  <c r="S26" i="20" s="1"/>
  <c r="S27" i="29" l="1"/>
  <c r="S21" i="29"/>
  <c r="V7" i="29" s="1"/>
  <c r="V9" i="29" s="1"/>
  <c r="S28" i="28"/>
  <c r="V8" i="28" s="1"/>
  <c r="V10" i="28" s="1"/>
  <c r="S36" i="28"/>
  <c r="S29" i="19"/>
  <c r="S44" i="19" s="1"/>
  <c r="S46" i="19" s="1"/>
  <c r="S37" i="19"/>
  <c r="S36" i="22"/>
  <c r="S28" i="22"/>
  <c r="V8" i="22" s="1"/>
  <c r="V10" i="22" s="1"/>
  <c r="S28" i="23"/>
  <c r="D33" i="26"/>
  <c r="F44" i="26"/>
  <c r="H44" i="26" s="1"/>
  <c r="S44" i="26" s="1"/>
  <c r="D31" i="24"/>
  <c r="H31" i="24" s="1"/>
  <c r="S31" i="24" s="1"/>
  <c r="S32" i="24" s="1"/>
  <c r="D24" i="24"/>
  <c r="S27" i="20"/>
  <c r="F21" i="23"/>
  <c r="H21" i="23" s="1"/>
  <c r="S21" i="23" s="1"/>
  <c r="F20" i="23"/>
  <c r="H20" i="23" s="1"/>
  <c r="S20" i="23" s="1"/>
  <c r="F19" i="23"/>
  <c r="H19" i="23" s="1"/>
  <c r="S19" i="23" s="1"/>
  <c r="S31" i="21"/>
  <c r="H18" i="20"/>
  <c r="S18" i="20" s="1"/>
  <c r="H20" i="20"/>
  <c r="S20" i="20" s="1"/>
  <c r="H19" i="20"/>
  <c r="S19" i="20" s="1"/>
  <c r="S34" i="29" l="1"/>
  <c r="S36" i="29" s="1"/>
  <c r="S43" i="28"/>
  <c r="S45" i="28" s="1"/>
  <c r="V7" i="19"/>
  <c r="V9" i="19" s="1"/>
  <c r="S43" i="22"/>
  <c r="S45" i="22" s="1"/>
  <c r="F45" i="26"/>
  <c r="H45" i="26" s="1"/>
  <c r="S45" i="26" s="1"/>
  <c r="D34" i="26"/>
  <c r="F23" i="24"/>
  <c r="H23" i="24" s="1"/>
  <c r="S23" i="24" s="1"/>
  <c r="F24" i="24"/>
  <c r="H24" i="24" s="1"/>
  <c r="S24" i="24" s="1"/>
  <c r="F21" i="24"/>
  <c r="H21" i="24" s="1"/>
  <c r="S21" i="24" s="1"/>
  <c r="F22" i="24"/>
  <c r="H22" i="24" s="1"/>
  <c r="S22" i="24" s="1"/>
  <c r="S22" i="23"/>
  <c r="S35" i="23" s="1"/>
  <c r="S37" i="23" s="1"/>
  <c r="H22" i="21"/>
  <c r="S22" i="21" s="1"/>
  <c r="S21" i="20"/>
  <c r="F46" i="26" l="1"/>
  <c r="H46" i="26" s="1"/>
  <c r="S46" i="26" s="1"/>
  <c r="S47" i="26" s="1"/>
  <c r="D35" i="26"/>
  <c r="S25" i="24"/>
  <c r="S39" i="24" s="1"/>
  <c r="S41" i="24" s="1"/>
  <c r="S24" i="21"/>
  <c r="S38" i="21" s="1"/>
  <c r="S40" i="21" s="1"/>
  <c r="V7" i="20"/>
  <c r="V9" i="20" s="1"/>
  <c r="S34" i="20"/>
  <c r="S36" i="20" s="1"/>
  <c r="F29" i="26" l="1"/>
  <c r="H29" i="26" s="1"/>
  <c r="S29" i="26" s="1"/>
  <c r="F35" i="26"/>
  <c r="H35" i="26" s="1"/>
  <c r="S35" i="26" s="1"/>
  <c r="F31" i="26"/>
  <c r="H31" i="26" s="1"/>
  <c r="S31" i="26" s="1"/>
  <c r="F28" i="26"/>
  <c r="H28" i="26" s="1"/>
  <c r="S28" i="26" s="1"/>
  <c r="F33" i="26"/>
  <c r="H33" i="26" s="1"/>
  <c r="S33" i="26" s="1"/>
  <c r="F30" i="26"/>
  <c r="H30" i="26" s="1"/>
  <c r="S30" i="26" s="1"/>
  <c r="F34" i="26"/>
  <c r="H34" i="26" s="1"/>
  <c r="S34" i="26" s="1"/>
  <c r="F32" i="26"/>
  <c r="H32" i="26" s="1"/>
  <c r="S32" i="26" s="1"/>
  <c r="V7" i="21"/>
  <c r="V11" i="21" s="1"/>
  <c r="S36" i="26" l="1"/>
  <c r="V7" i="26" s="1"/>
  <c r="V9" i="26" s="1"/>
  <c r="S54" i="26" l="1"/>
  <c r="S56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it.ba</author>
  </authors>
  <commentList>
    <comment ref="I6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it.ba: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<sst xmlns="http://schemas.openxmlformats.org/spreadsheetml/2006/main" count="1095" uniqueCount="73">
  <si>
    <t>TARGET</t>
  </si>
  <si>
    <t>FLOATING</t>
  </si>
  <si>
    <t>1. Level</t>
  </si>
  <si>
    <t>2. Level</t>
  </si>
  <si>
    <t>3. Level</t>
  </si>
  <si>
    <t>-</t>
  </si>
  <si>
    <t>=</t>
  </si>
  <si>
    <t>pts</t>
  </si>
  <si>
    <t>*</t>
  </si>
  <si>
    <t>$</t>
  </si>
  <si>
    <t>Lot</t>
  </si>
  <si>
    <t>TOTAL FLOATING</t>
  </si>
  <si>
    <t>TOTAL PELUANG</t>
  </si>
  <si>
    <t>TOTAL MARGIN</t>
  </si>
  <si>
    <t>PELUANG PROFIT</t>
  </si>
  <si>
    <t>I.</t>
  </si>
  <si>
    <t>II.</t>
  </si>
  <si>
    <t>III.</t>
  </si>
  <si>
    <t>MARGIN REQUIREMENT</t>
  </si>
  <si>
    <t>PIRAMID TRADING SYSTEM</t>
  </si>
  <si>
    <t>REMARKS</t>
  </si>
  <si>
    <t>NILAI</t>
  </si>
  <si>
    <t>NB</t>
  </si>
  <si>
    <t>EQ</t>
  </si>
  <si>
    <t>MR</t>
  </si>
  <si>
    <t>EM</t>
  </si>
  <si>
    <t>4. Level</t>
  </si>
  <si>
    <t>5. Level</t>
  </si>
  <si>
    <t xml:space="preserve">  Limit Loss</t>
  </si>
  <si>
    <t>Overnight per lot adalah  $ 2000</t>
  </si>
  <si>
    <t xml:space="preserve">  TARGET</t>
  </si>
  <si>
    <t>Overnight per lot adalah  $ 2.000</t>
  </si>
  <si>
    <t>LOCO GOLD</t>
  </si>
  <si>
    <t>Limit Loss</t>
  </si>
  <si>
    <t>6. Level</t>
  </si>
  <si>
    <t>7. Level</t>
  </si>
  <si>
    <t>8. Level</t>
  </si>
  <si>
    <t>LOCO  GOLD</t>
  </si>
  <si>
    <t>`</t>
  </si>
  <si>
    <t xml:space="preserve">ILUSTRASI PLAN BUY </t>
  </si>
  <si>
    <t xml:space="preserve">ILUSTRASI PLAN SELL </t>
  </si>
  <si>
    <t>HISTORICAL DATA</t>
  </si>
  <si>
    <t>Spot Gold</t>
  </si>
  <si>
    <t>DATE</t>
  </si>
  <si>
    <t>OPEN</t>
  </si>
  <si>
    <t>HIGH</t>
  </si>
  <si>
    <t>LOW</t>
  </si>
  <si>
    <t>CLOSE</t>
  </si>
  <si>
    <t>Hang Seng Futures</t>
  </si>
  <si>
    <t>-/+ $</t>
  </si>
  <si>
    <t>VOLUME</t>
  </si>
  <si>
    <t>O.INT</t>
  </si>
  <si>
    <t>Nikkei 225</t>
  </si>
  <si>
    <t>AUDUSD</t>
  </si>
  <si>
    <t>EURUSD</t>
  </si>
  <si>
    <t>GBPUSD</t>
  </si>
  <si>
    <t>USDCHF</t>
  </si>
  <si>
    <t>USDJPY</t>
  </si>
  <si>
    <t>HEDGING</t>
  </si>
  <si>
    <t>YEN</t>
  </si>
  <si>
    <t>ILUSTRASI PLAN RDR 21360</t>
  </si>
  <si>
    <t>ILUSTRASI PLAN BUY</t>
  </si>
  <si>
    <t>ILUSTRASI PLAN SELL</t>
  </si>
  <si>
    <t>.</t>
  </si>
  <si>
    <t xml:space="preserve"> </t>
  </si>
  <si>
    <t>Hedging</t>
  </si>
  <si>
    <t>SELL 6 LOT</t>
  </si>
  <si>
    <t>SELL 4 LOT</t>
  </si>
  <si>
    <t>Buy50 Lot</t>
  </si>
  <si>
    <t>Buy 40 Lot</t>
  </si>
  <si>
    <t>Buy30 Lot</t>
  </si>
  <si>
    <t>ILUSTRASI PLAN BUY IMLEK</t>
  </si>
  <si>
    <t>ILUSTRASI PLAN TRADING 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</si>
</sst>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(* #,##0_);_(* \(#,##0\);_(* &quot;-&quot;_);_(@_)"/>
    <numFmt numFmtId="43" formatCode="_(* #,##0.00_);_(* \(#,##0.00\);_(* &quot;-&quot;??_);_(@_)"/>
    <numFmt numFmtId="164" formatCode="#,##0;[Red]#,##0"/>
    <numFmt numFmtId="165" formatCode="_(* #,##0_);_(* \(#,##0\);_(* &quot;-&quot;??_);_(@_)"/>
    <numFmt numFmtId="166" formatCode="mm/dd/yy;@"/>
    <numFmt numFmtId="167" formatCode="m/d/yy;@"/>
  </numFmts>
  <fonts count="2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sz val="6"/>
      <color indexed="8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u/>
      <sz val="16"/>
      <name val="Arial"/>
      <family val="2"/>
    </font>
    <font>
      <b/>
      <sz val="10"/>
      <color rgb="FF0309ED"/>
      <name val="Arial"/>
      <family val="2"/>
    </font>
    <font>
      <sz val="10"/>
      <color rgb="FF0309ED"/>
      <name val="Arial"/>
      <family val="2"/>
    </font>
    <font>
      <b/>
      <sz val="12"/>
      <color rgb="FF0309ED"/>
      <name val="Arial"/>
      <family val="2"/>
    </font>
    <font>
      <sz val="12"/>
      <color rgb="FFFF0000"/>
      <name val="Arial"/>
      <family val="2"/>
    </font>
    <font>
      <sz val="12"/>
      <color rgb="FF0309ED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3" borderId="0" applyNumberFormat="0" applyBorder="0" applyAlignment="0" applyProtection="0"/>
  </cellStyleXfs>
  <cellXfs count="250">
    <xf numFmtId="0" fontId="0" fillId="0" borderId="0" xfId="0"/>
    <xf numFmtId="3" fontId="0" fillId="0" borderId="0" xfId="0" applyNumberFormat="1" applyBorder="1"/>
    <xf numFmtId="0" fontId="0" fillId="0" borderId="0" xfId="0" applyBorder="1"/>
    <xf numFmtId="0" fontId="0" fillId="0" borderId="1" xfId="0" applyBorder="1"/>
    <xf numFmtId="41" fontId="0" fillId="0" borderId="0" xfId="2" applyFont="1" applyBorder="1"/>
    <xf numFmtId="0" fontId="0" fillId="0" borderId="0" xfId="0" quotePrefix="1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3" fontId="0" fillId="0" borderId="0" xfId="0" applyNumberFormat="1" applyBorder="1" applyAlignment="1">
      <alignment horizontal="left"/>
    </xf>
    <xf numFmtId="0" fontId="0" fillId="0" borderId="0" xfId="0" applyBorder="1" applyAlignment="1"/>
    <xf numFmtId="0" fontId="0" fillId="0" borderId="2" xfId="0" applyBorder="1"/>
    <xf numFmtId="3" fontId="0" fillId="0" borderId="0" xfId="0" applyNumberFormat="1" applyFill="1" applyBorder="1"/>
    <xf numFmtId="0" fontId="0" fillId="0" borderId="0" xfId="0" quotePrefix="1" applyBorder="1" applyAlignment="1">
      <alignment horizontal="center"/>
    </xf>
    <xf numFmtId="3" fontId="4" fillId="0" borderId="0" xfId="0" applyNumberFormat="1" applyFont="1"/>
    <xf numFmtId="0" fontId="3" fillId="0" borderId="0" xfId="0" applyFont="1" applyBorder="1"/>
    <xf numFmtId="0" fontId="3" fillId="0" borderId="3" xfId="0" applyFont="1" applyBorder="1"/>
    <xf numFmtId="0" fontId="3" fillId="0" borderId="0" xfId="0" applyFont="1" applyFill="1" applyBorder="1"/>
    <xf numFmtId="0" fontId="3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41" fontId="7" fillId="0" borderId="5" xfId="2" applyFont="1" applyBorder="1"/>
    <xf numFmtId="41" fontId="7" fillId="0" borderId="1" xfId="2" applyFont="1" applyBorder="1"/>
    <xf numFmtId="41" fontId="8" fillId="0" borderId="1" xfId="2" applyFont="1" applyBorder="1"/>
    <xf numFmtId="0" fontId="7" fillId="0" borderId="1" xfId="0" applyFont="1" applyBorder="1"/>
    <xf numFmtId="41" fontId="7" fillId="0" borderId="1" xfId="0" applyNumberFormat="1" applyFont="1" applyBorder="1"/>
    <xf numFmtId="3" fontId="3" fillId="0" borderId="0" xfId="0" applyNumberFormat="1" applyFont="1" applyBorder="1"/>
    <xf numFmtId="0" fontId="3" fillId="0" borderId="0" xfId="0" applyFont="1"/>
    <xf numFmtId="41" fontId="7" fillId="0" borderId="5" xfId="0" applyNumberFormat="1" applyFont="1" applyBorder="1" applyAlignment="1">
      <alignment vertical="center"/>
    </xf>
    <xf numFmtId="3" fontId="0" fillId="0" borderId="0" xfId="0" applyNumberFormat="1" applyFill="1" applyBorder="1" applyAlignment="1">
      <alignment horizontal="right"/>
    </xf>
    <xf numFmtId="3" fontId="0" fillId="0" borderId="0" xfId="0" applyNumberFormat="1" applyBorder="1" applyAlignment="1"/>
    <xf numFmtId="3" fontId="0" fillId="0" borderId="0" xfId="0" applyNumberFormat="1" applyBorder="1" applyAlignment="1">
      <alignment horizontal="center"/>
    </xf>
    <xf numFmtId="0" fontId="0" fillId="0" borderId="6" xfId="0" applyBorder="1"/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0" fillId="0" borderId="9" xfId="0" applyBorder="1" applyAlignment="1">
      <alignment horizontal="right"/>
    </xf>
    <xf numFmtId="0" fontId="3" fillId="0" borderId="7" xfId="0" quotePrefix="1" applyFont="1" applyBorder="1" applyAlignment="1">
      <alignment horizontal="right"/>
    </xf>
    <xf numFmtId="0" fontId="3" fillId="0" borderId="8" xfId="0" applyFont="1" applyBorder="1" applyAlignment="1">
      <alignment horizontal="right" vertical="center"/>
    </xf>
    <xf numFmtId="0" fontId="0" fillId="0" borderId="0" xfId="0" applyBorder="1" applyAlignment="1">
      <alignment horizontal="center"/>
    </xf>
    <xf numFmtId="41" fontId="7" fillId="0" borderId="1" xfId="2" applyFont="1" applyBorder="1" applyAlignment="1">
      <alignment horizontal="left"/>
    </xf>
    <xf numFmtId="0" fontId="0" fillId="0" borderId="0" xfId="0" applyAlignment="1">
      <alignment horizontal="center"/>
    </xf>
    <xf numFmtId="165" fontId="3" fillId="0" borderId="0" xfId="1" applyNumberFormat="1" applyFont="1"/>
    <xf numFmtId="16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3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left"/>
    </xf>
    <xf numFmtId="0" fontId="0" fillId="0" borderId="13" xfId="0" quotePrefix="1" applyBorder="1"/>
    <xf numFmtId="0" fontId="3" fillId="0" borderId="14" xfId="0" quotePrefix="1" applyFont="1" applyBorder="1" applyAlignment="1">
      <alignment horizontal="right"/>
    </xf>
    <xf numFmtId="41" fontId="7" fillId="0" borderId="15" xfId="2" applyFont="1" applyBorder="1"/>
    <xf numFmtId="0" fontId="3" fillId="0" borderId="4" xfId="0" applyFont="1" applyBorder="1" applyAlignment="1">
      <alignment horizontal="right"/>
    </xf>
    <xf numFmtId="0" fontId="0" fillId="0" borderId="16" xfId="0" applyBorder="1" applyAlignment="1">
      <alignment horizontal="right"/>
    </xf>
    <xf numFmtId="165" fontId="7" fillId="0" borderId="1" xfId="2" applyNumberFormat="1" applyFont="1" applyBorder="1"/>
    <xf numFmtId="41" fontId="7" fillId="0" borderId="5" xfId="2" applyNumberFormat="1" applyFont="1" applyBorder="1"/>
    <xf numFmtId="9" fontId="0" fillId="0" borderId="0" xfId="3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quotePrefix="1" applyFont="1" applyBorder="1" applyAlignment="1">
      <alignment horizontal="center"/>
    </xf>
    <xf numFmtId="0" fontId="3" fillId="0" borderId="0" xfId="0" quotePrefix="1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4" fillId="0" borderId="0" xfId="0" applyFont="1"/>
    <xf numFmtId="0" fontId="10" fillId="0" borderId="0" xfId="0" applyFont="1"/>
    <xf numFmtId="0" fontId="3" fillId="0" borderId="0" xfId="0" applyFont="1" applyAlignment="1">
      <alignment vertical="center"/>
    </xf>
    <xf numFmtId="3" fontId="4" fillId="0" borderId="0" xfId="0" applyNumberFormat="1" applyFont="1" applyBorder="1" applyAlignment="1"/>
    <xf numFmtId="14" fontId="0" fillId="0" borderId="0" xfId="0" applyNumberFormat="1"/>
    <xf numFmtId="0" fontId="0" fillId="0" borderId="17" xfId="0" applyBorder="1"/>
    <xf numFmtId="3" fontId="12" fillId="0" borderId="0" xfId="0" applyNumberFormat="1" applyFont="1" applyBorder="1" applyAlignment="1"/>
    <xf numFmtId="3" fontId="13" fillId="0" borderId="0" xfId="0" applyNumberFormat="1" applyFont="1" applyBorder="1"/>
    <xf numFmtId="0" fontId="13" fillId="0" borderId="0" xfId="0" applyFont="1"/>
    <xf numFmtId="3" fontId="13" fillId="0" borderId="0" xfId="0" applyNumberFormat="1" applyFont="1"/>
    <xf numFmtId="0" fontId="0" fillId="2" borderId="0" xfId="0" applyFill="1"/>
    <xf numFmtId="0" fontId="0" fillId="2" borderId="0" xfId="0" applyFill="1" applyAlignment="1">
      <alignment horizontal="right"/>
    </xf>
    <xf numFmtId="3" fontId="0" fillId="2" borderId="0" xfId="0" applyNumberFormat="1" applyFill="1" applyBorder="1"/>
    <xf numFmtId="3" fontId="3" fillId="2" borderId="0" xfId="0" applyNumberFormat="1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0" fillId="2" borderId="0" xfId="0" applyFill="1" applyBorder="1"/>
    <xf numFmtId="0" fontId="3" fillId="2" borderId="0" xfId="0" applyFont="1" applyFill="1" applyBorder="1"/>
    <xf numFmtId="165" fontId="3" fillId="2" borderId="0" xfId="1" applyNumberFormat="1" applyFont="1" applyFill="1"/>
    <xf numFmtId="9" fontId="1" fillId="2" borderId="0" xfId="3" applyFont="1" applyFill="1"/>
    <xf numFmtId="0" fontId="3" fillId="2" borderId="0" xfId="0" applyFont="1" applyFill="1" applyAlignment="1"/>
    <xf numFmtId="0" fontId="4" fillId="2" borderId="0" xfId="0" applyFont="1" applyFill="1"/>
    <xf numFmtId="0" fontId="0" fillId="2" borderId="10" xfId="0" applyFill="1" applyBorder="1"/>
    <xf numFmtId="0" fontId="0" fillId="2" borderId="11" xfId="0" applyFill="1" applyBorder="1"/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right"/>
    </xf>
    <xf numFmtId="0" fontId="0" fillId="2" borderId="6" xfId="0" applyFill="1" applyBorder="1"/>
    <xf numFmtId="0" fontId="3" fillId="2" borderId="3" xfId="0" applyFont="1" applyFill="1" applyBorder="1"/>
    <xf numFmtId="0" fontId="3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7" xfId="0" applyFill="1" applyBorder="1" applyAlignment="1">
      <alignment horizontal="right"/>
    </xf>
    <xf numFmtId="0" fontId="0" fillId="2" borderId="1" xfId="0" applyFill="1" applyBorder="1"/>
    <xf numFmtId="41" fontId="1" fillId="2" borderId="0" xfId="2" applyFont="1" applyFill="1" applyBorder="1"/>
    <xf numFmtId="0" fontId="3" fillId="2" borderId="0" xfId="0" quotePrefix="1" applyFont="1" applyFill="1" applyBorder="1" applyAlignment="1">
      <alignment horizontal="center"/>
    </xf>
    <xf numFmtId="0" fontId="0" fillId="2" borderId="0" xfId="0" quotePrefix="1" applyFill="1" applyBorder="1"/>
    <xf numFmtId="0" fontId="0" fillId="2" borderId="0" xfId="0" applyFill="1" applyBorder="1" applyAlignment="1">
      <alignment horizontal="right"/>
    </xf>
    <xf numFmtId="0" fontId="3" fillId="2" borderId="7" xfId="0" applyFont="1" applyFill="1" applyBorder="1" applyAlignment="1">
      <alignment horizontal="right"/>
    </xf>
    <xf numFmtId="165" fontId="7" fillId="2" borderId="1" xfId="2" applyNumberFormat="1" applyFont="1" applyFill="1" applyBorder="1"/>
    <xf numFmtId="0" fontId="0" fillId="2" borderId="0" xfId="0" applyFill="1" applyAlignment="1">
      <alignment horizontal="center"/>
    </xf>
    <xf numFmtId="0" fontId="0" fillId="2" borderId="16" xfId="0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41" fontId="7" fillId="2" borderId="5" xfId="2" applyNumberFormat="1" applyFont="1" applyFill="1" applyBorder="1"/>
    <xf numFmtId="41" fontId="8" fillId="2" borderId="1" xfId="2" applyFont="1" applyFill="1" applyBorder="1"/>
    <xf numFmtId="3" fontId="0" fillId="2" borderId="0" xfId="0" applyNumberFormat="1" applyFill="1" applyAlignment="1">
      <alignment horizontal="center"/>
    </xf>
    <xf numFmtId="3" fontId="0" fillId="2" borderId="0" xfId="0" applyNumberFormat="1" applyFill="1" applyBorder="1" applyAlignment="1">
      <alignment horizontal="center"/>
    </xf>
    <xf numFmtId="3" fontId="0" fillId="2" borderId="0" xfId="0" applyNumberFormat="1" applyFill="1" applyBorder="1" applyAlignment="1">
      <alignment horizontal="right"/>
    </xf>
    <xf numFmtId="41" fontId="7" fillId="2" borderId="1" xfId="2" applyFont="1" applyFill="1" applyBorder="1" applyAlignment="1">
      <alignment horizontal="left"/>
    </xf>
    <xf numFmtId="41" fontId="7" fillId="2" borderId="1" xfId="2" applyFont="1" applyFill="1" applyBorder="1"/>
    <xf numFmtId="0" fontId="3" fillId="2" borderId="8" xfId="0" applyFont="1" applyFill="1" applyBorder="1" applyAlignment="1">
      <alignment horizontal="right"/>
    </xf>
    <xf numFmtId="41" fontId="7" fillId="2" borderId="5" xfId="2" applyFont="1" applyFill="1" applyBorder="1"/>
    <xf numFmtId="3" fontId="0" fillId="2" borderId="0" xfId="0" applyNumberFormat="1" applyFill="1" applyBorder="1" applyAlignment="1"/>
    <xf numFmtId="0" fontId="7" fillId="2" borderId="1" xfId="0" applyFont="1" applyFill="1" applyBorder="1"/>
    <xf numFmtId="3" fontId="0" fillId="2" borderId="0" xfId="0" applyNumberFormat="1" applyFill="1" applyBorder="1" applyAlignment="1">
      <alignment horizontal="left"/>
    </xf>
    <xf numFmtId="0" fontId="3" fillId="2" borderId="7" xfId="0" quotePrefix="1" applyFont="1" applyFill="1" applyBorder="1" applyAlignment="1">
      <alignment horizontal="right"/>
    </xf>
    <xf numFmtId="0" fontId="0" fillId="2" borderId="0" xfId="0" applyFill="1" applyBorder="1" applyAlignment="1"/>
    <xf numFmtId="0" fontId="0" fillId="2" borderId="0" xfId="0" applyFill="1" applyBorder="1" applyAlignment="1">
      <alignment horizontal="left"/>
    </xf>
    <xf numFmtId="41" fontId="7" fillId="2" borderId="1" xfId="0" applyNumberFormat="1" applyFont="1" applyFill="1" applyBorder="1"/>
    <xf numFmtId="0" fontId="3" fillId="2" borderId="12" xfId="0" applyFont="1" applyFill="1" applyBorder="1"/>
    <xf numFmtId="0" fontId="0" fillId="2" borderId="13" xfId="0" applyFill="1" applyBorder="1"/>
    <xf numFmtId="0" fontId="0" fillId="2" borderId="13" xfId="0" applyFill="1" applyBorder="1" applyAlignment="1">
      <alignment horizontal="right"/>
    </xf>
    <xf numFmtId="0" fontId="0" fillId="2" borderId="13" xfId="0" applyFill="1" applyBorder="1" applyAlignment="1">
      <alignment horizontal="left"/>
    </xf>
    <xf numFmtId="0" fontId="0" fillId="2" borderId="13" xfId="0" quotePrefix="1" applyFill="1" applyBorder="1"/>
    <xf numFmtId="0" fontId="3" fillId="2" borderId="14" xfId="0" quotePrefix="1" applyFont="1" applyFill="1" applyBorder="1" applyAlignment="1">
      <alignment horizontal="right"/>
    </xf>
    <xf numFmtId="41" fontId="7" fillId="2" borderId="15" xfId="2" applyFont="1" applyFill="1" applyBorder="1"/>
    <xf numFmtId="0" fontId="0" fillId="2" borderId="2" xfId="0" applyFill="1" applyBorder="1"/>
    <xf numFmtId="0" fontId="3" fillId="2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3" fillId="2" borderId="8" xfId="0" applyFont="1" applyFill="1" applyBorder="1" applyAlignment="1">
      <alignment horizontal="right" vertical="center"/>
    </xf>
    <xf numFmtId="41" fontId="7" fillId="2" borderId="5" xfId="0" applyNumberFormat="1" applyFont="1" applyFill="1" applyBorder="1" applyAlignment="1">
      <alignment vertical="center"/>
    </xf>
    <xf numFmtId="0" fontId="14" fillId="0" borderId="0" xfId="0" applyFont="1"/>
    <xf numFmtId="0" fontId="15" fillId="0" borderId="0" xfId="0" applyFont="1" applyAlignment="1">
      <alignment horizontal="center" vertical="center" wrapText="1"/>
    </xf>
    <xf numFmtId="15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4" fontId="0" fillId="2" borderId="0" xfId="0" applyNumberFormat="1" applyFill="1" applyBorder="1" applyAlignment="1">
      <alignment horizontal="center"/>
    </xf>
    <xf numFmtId="4" fontId="0" fillId="2" borderId="0" xfId="0" applyNumberFormat="1" applyFill="1" applyAlignment="1">
      <alignment horizontal="center"/>
    </xf>
    <xf numFmtId="4" fontId="0" fillId="2" borderId="0" xfId="0" applyNumberFormat="1" applyFill="1" applyBorder="1"/>
    <xf numFmtId="43" fontId="7" fillId="2" borderId="1" xfId="2" applyNumberFormat="1" applyFont="1" applyFill="1" applyBorder="1" applyAlignment="1">
      <alignment horizontal="left"/>
    </xf>
    <xf numFmtId="43" fontId="7" fillId="2" borderId="1" xfId="2" applyNumberFormat="1" applyFont="1" applyFill="1" applyBorder="1"/>
    <xf numFmtId="43" fontId="1" fillId="2" borderId="0" xfId="2" applyNumberFormat="1" applyFont="1" applyFill="1" applyBorder="1"/>
    <xf numFmtId="2" fontId="3" fillId="0" borderId="0" xfId="0" applyNumberFormat="1" applyFont="1"/>
    <xf numFmtId="2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3" fontId="3" fillId="0" borderId="0" xfId="1" applyNumberFormat="1" applyFont="1" applyAlignment="1">
      <alignment horizontal="center" vertical="center"/>
    </xf>
    <xf numFmtId="0" fontId="0" fillId="0" borderId="0" xfId="0" applyBorder="1" applyAlignment="1">
      <alignment horizontal="left"/>
    </xf>
    <xf numFmtId="0" fontId="1" fillId="0" borderId="0" xfId="0" applyFont="1" applyBorder="1"/>
    <xf numFmtId="2" fontId="19" fillId="0" borderId="0" xfId="0" applyNumberFormat="1" applyFont="1"/>
    <xf numFmtId="41" fontId="20" fillId="0" borderId="5" xfId="2" applyNumberFormat="1" applyFont="1" applyBorder="1"/>
    <xf numFmtId="41" fontId="20" fillId="0" borderId="5" xfId="2" applyFont="1" applyBorder="1"/>
    <xf numFmtId="41" fontId="20" fillId="0" borderId="5" xfId="0" applyNumberFormat="1" applyFont="1" applyBorder="1" applyAlignment="1">
      <alignment vertical="center"/>
    </xf>
    <xf numFmtId="0" fontId="21" fillId="0" borderId="0" xfId="0" applyFont="1"/>
    <xf numFmtId="14" fontId="9" fillId="0" borderId="0" xfId="0" applyNumberFormat="1" applyFont="1" applyBorder="1" applyAlignment="1">
      <alignment horizontal="center"/>
    </xf>
    <xf numFmtId="0" fontId="2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left"/>
    </xf>
    <xf numFmtId="4" fontId="0" fillId="0" borderId="0" xfId="0" applyNumberFormat="1" applyAlignment="1">
      <alignment horizontal="center"/>
    </xf>
    <xf numFmtId="4" fontId="0" fillId="0" borderId="0" xfId="0" applyNumberFormat="1" applyBorder="1" applyAlignment="1">
      <alignment horizontal="center"/>
    </xf>
    <xf numFmtId="43" fontId="0" fillId="0" borderId="0" xfId="2" applyNumberFormat="1" applyFont="1" applyBorder="1"/>
    <xf numFmtId="3" fontId="0" fillId="0" borderId="0" xfId="0" applyNumberFormat="1"/>
    <xf numFmtId="0" fontId="1" fillId="0" borderId="0" xfId="0" applyFont="1"/>
    <xf numFmtId="41" fontId="0" fillId="0" borderId="0" xfId="0" applyNumberFormat="1" applyBorder="1" applyAlignment="1">
      <alignment horizontal="center"/>
    </xf>
    <xf numFmtId="0" fontId="25" fillId="3" borderId="0" xfId="4"/>
    <xf numFmtId="3" fontId="4" fillId="0" borderId="0" xfId="0" applyNumberFormat="1" applyFont="1" applyBorder="1" applyAlignment="1">
      <alignment horizontal="left"/>
    </xf>
    <xf numFmtId="14" fontId="9" fillId="0" borderId="11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3" fontId="4" fillId="0" borderId="17" xfId="0" applyNumberFormat="1" applyFont="1" applyBorder="1" applyAlignment="1">
      <alignment horizontal="center"/>
    </xf>
    <xf numFmtId="3" fontId="3" fillId="0" borderId="0" xfId="0" applyNumberFormat="1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/>
    </xf>
    <xf numFmtId="167" fontId="6" fillId="0" borderId="4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3" fontId="3" fillId="0" borderId="0" xfId="1" applyNumberFormat="1" applyFont="1" applyAlignment="1">
      <alignment horizontal="center" vertical="center"/>
    </xf>
    <xf numFmtId="3" fontId="16" fillId="0" borderId="0" xfId="0" applyNumberFormat="1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left"/>
    </xf>
    <xf numFmtId="14" fontId="9" fillId="2" borderId="11" xfId="0" applyNumberFormat="1" applyFont="1" applyFill="1" applyBorder="1" applyAlignment="1">
      <alignment horizontal="center"/>
    </xf>
    <xf numFmtId="3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3" fontId="4" fillId="2" borderId="17" xfId="0" applyNumberFormat="1" applyFont="1" applyFill="1" applyBorder="1" applyAlignment="1">
      <alignment horizontal="center"/>
    </xf>
    <xf numFmtId="3" fontId="3" fillId="2" borderId="0" xfId="1" applyNumberFormat="1" applyFont="1" applyFill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3" fontId="3" fillId="0" borderId="17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3" fontId="3" fillId="0" borderId="0" xfId="1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center" vertical="center"/>
    </xf>
    <xf numFmtId="2" fontId="18" fillId="0" borderId="0" xfId="1" applyNumberFormat="1" applyFont="1" applyAlignment="1">
      <alignment horizontal="center"/>
    </xf>
    <xf numFmtId="2" fontId="18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3" fontId="18" fillId="0" borderId="0" xfId="0" applyNumberFormat="1" applyFont="1" applyBorder="1" applyAlignment="1">
      <alignment horizontal="center" vertical="center"/>
    </xf>
    <xf numFmtId="2" fontId="18" fillId="0" borderId="0" xfId="0" applyNumberFormat="1" applyFont="1" applyAlignment="1">
      <alignment horizontal="center" vertical="center" wrapText="1"/>
    </xf>
    <xf numFmtId="14" fontId="11" fillId="0" borderId="11" xfId="0" applyNumberFormat="1" applyFont="1" applyBorder="1" applyAlignment="1">
      <alignment horizontal="left" vertical="center"/>
    </xf>
    <xf numFmtId="2" fontId="3" fillId="0" borderId="0" xfId="1" applyNumberFormat="1" applyFont="1" applyAlignment="1">
      <alignment horizont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2" fontId="3" fillId="2" borderId="0" xfId="1" applyNumberFormat="1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4" fontId="3" fillId="2" borderId="0" xfId="0" applyNumberFormat="1" applyFont="1" applyFill="1" applyAlignment="1">
      <alignment horizontal="center"/>
    </xf>
  </cellXfs>
  <cellStyles count="5">
    <cellStyle name="Comma" xfId="1" builtinId="3"/>
    <cellStyle name="Comma [0]" xfId="2" builtinId="6"/>
    <cellStyle name="Good" xfId="4" builtinId="26"/>
    <cellStyle name="Normal" xfId="0" builtinId="0"/>
    <cellStyle name="Percent" xfId="3" builtinId="5"/>
  </cellStyles>
  <dxfs count="0"/>
  <tableStyles count="1" defaultTableStyle="TableStyleMedium9" defaultPivotStyle="PivotStyleLight16">
    <tableStyle name="Table Style 1" pivot="0" count="0" xr9:uid="{00000000-0011-0000-FFFF-FFFF00000000}"/>
  </tableStyles>
  <colors>
    <mruColors>
      <color rgb="FF030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78442</xdr:colOff>
      <xdr:row>3</xdr:row>
      <xdr:rowOff>22412</xdr:rowOff>
    </xdr:from>
    <xdr:to>
      <xdr:col>5</xdr:col>
      <xdr:colOff>425824</xdr:colOff>
      <xdr:row>11</xdr:row>
      <xdr:rowOff>78441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818030" y="739588"/>
          <a:ext cx="1680882" cy="1311088"/>
        </a:xfrm>
        <a:prstGeom prst="triangl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as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12</xdr:col>
      <xdr:colOff>9525</xdr:colOff>
      <xdr:row>0</xdr:row>
      <xdr:rowOff>0</xdr:rowOff>
    </xdr:to>
    <xdr:sp macro="" textlink="">
      <xdr:nvSpPr>
        <xdr:cNvPr id="2456" name="Line 1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SpPr>
          <a:spLocks noChangeShapeType="1"/>
        </xdr:cNvSpPr>
      </xdr:nvSpPr>
      <xdr:spPr bwMode="auto">
        <a:xfrm>
          <a:off x="38385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47625</xdr:colOff>
      <xdr:row>0</xdr:row>
      <xdr:rowOff>0</xdr:rowOff>
    </xdr:from>
    <xdr:to>
      <xdr:col>3</xdr:col>
      <xdr:colOff>276225</xdr:colOff>
      <xdr:row>0</xdr:row>
      <xdr:rowOff>0</xdr:rowOff>
    </xdr:to>
    <xdr:sp macro="" textlink="">
      <xdr:nvSpPr>
        <xdr:cNvPr id="2457" name="Line 2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SpPr>
          <a:spLocks noChangeShapeType="1"/>
        </xdr:cNvSpPr>
      </xdr:nvSpPr>
      <xdr:spPr bwMode="auto">
        <a:xfrm flipV="1">
          <a:off x="590550" y="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276225</xdr:colOff>
      <xdr:row>0</xdr:row>
      <xdr:rowOff>0</xdr:rowOff>
    </xdr:from>
    <xdr:to>
      <xdr:col>5</xdr:col>
      <xdr:colOff>457200</xdr:colOff>
      <xdr:row>0</xdr:row>
      <xdr:rowOff>0</xdr:rowOff>
    </xdr:to>
    <xdr:sp macro="" textlink="">
      <xdr:nvSpPr>
        <xdr:cNvPr id="2458" name="Line 3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SpPr>
          <a:spLocks noChangeShapeType="1"/>
        </xdr:cNvSpPr>
      </xdr:nvSpPr>
      <xdr:spPr bwMode="auto">
        <a:xfrm>
          <a:off x="1543050" y="0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57150</xdr:colOff>
      <xdr:row>0</xdr:row>
      <xdr:rowOff>0</xdr:rowOff>
    </xdr:from>
    <xdr:to>
      <xdr:col>5</xdr:col>
      <xdr:colOff>419100</xdr:colOff>
      <xdr:row>0</xdr:row>
      <xdr:rowOff>0</xdr:rowOff>
    </xdr:to>
    <xdr:sp macro="" textlink="">
      <xdr:nvSpPr>
        <xdr:cNvPr id="2459" name="Line 4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SpPr>
          <a:spLocks noChangeShapeType="1"/>
        </xdr:cNvSpPr>
      </xdr:nvSpPr>
      <xdr:spPr bwMode="auto">
        <a:xfrm>
          <a:off x="600075" y="0"/>
          <a:ext cx="1885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390525</xdr:colOff>
      <xdr:row>0</xdr:row>
      <xdr:rowOff>0</xdr:rowOff>
    </xdr:from>
    <xdr:to>
      <xdr:col>4</xdr:col>
      <xdr:colOff>104775</xdr:colOff>
      <xdr:row>0</xdr:row>
      <xdr:rowOff>0</xdr:rowOff>
    </xdr:to>
    <xdr:sp macro="" textlink="">
      <xdr:nvSpPr>
        <xdr:cNvPr id="2460" name="Line 5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SpPr>
          <a:spLocks noChangeShapeType="1"/>
        </xdr:cNvSpPr>
      </xdr:nvSpPr>
      <xdr:spPr bwMode="auto">
        <a:xfrm>
          <a:off x="1133475" y="0"/>
          <a:ext cx="838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200025</xdr:colOff>
      <xdr:row>0</xdr:row>
      <xdr:rowOff>0</xdr:rowOff>
    </xdr:from>
    <xdr:to>
      <xdr:col>5</xdr:col>
      <xdr:colOff>95250</xdr:colOff>
      <xdr:row>0</xdr:row>
      <xdr:rowOff>0</xdr:rowOff>
    </xdr:to>
    <xdr:sp macro="" textlink="">
      <xdr:nvSpPr>
        <xdr:cNvPr id="2461" name="Line 6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SpPr>
          <a:spLocks noChangeShapeType="1"/>
        </xdr:cNvSpPr>
      </xdr:nvSpPr>
      <xdr:spPr bwMode="auto">
        <a:xfrm>
          <a:off x="942975" y="0"/>
          <a:ext cx="121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0</xdr:row>
      <xdr:rowOff>0</xdr:rowOff>
    </xdr:from>
    <xdr:to>
      <xdr:col>12</xdr:col>
      <xdr:colOff>9525</xdr:colOff>
      <xdr:row>0</xdr:row>
      <xdr:rowOff>0</xdr:rowOff>
    </xdr:to>
    <xdr:sp macro="" textlink="">
      <xdr:nvSpPr>
        <xdr:cNvPr id="2462" name="Line 7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SpPr>
          <a:spLocks noChangeShapeType="1"/>
        </xdr:cNvSpPr>
      </xdr:nvSpPr>
      <xdr:spPr bwMode="auto">
        <a:xfrm>
          <a:off x="38385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47625</xdr:colOff>
      <xdr:row>0</xdr:row>
      <xdr:rowOff>0</xdr:rowOff>
    </xdr:from>
    <xdr:to>
      <xdr:col>3</xdr:col>
      <xdr:colOff>276225</xdr:colOff>
      <xdr:row>0</xdr:row>
      <xdr:rowOff>0</xdr:rowOff>
    </xdr:to>
    <xdr:sp macro="" textlink="">
      <xdr:nvSpPr>
        <xdr:cNvPr id="2463" name="Line 8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SpPr>
          <a:spLocks noChangeShapeType="1"/>
        </xdr:cNvSpPr>
      </xdr:nvSpPr>
      <xdr:spPr bwMode="auto">
        <a:xfrm flipV="1">
          <a:off x="590550" y="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276225</xdr:colOff>
      <xdr:row>0</xdr:row>
      <xdr:rowOff>0</xdr:rowOff>
    </xdr:from>
    <xdr:to>
      <xdr:col>5</xdr:col>
      <xdr:colOff>457200</xdr:colOff>
      <xdr:row>0</xdr:row>
      <xdr:rowOff>0</xdr:rowOff>
    </xdr:to>
    <xdr:sp macro="" textlink="">
      <xdr:nvSpPr>
        <xdr:cNvPr id="2464" name="Line 9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SpPr>
          <a:spLocks noChangeShapeType="1"/>
        </xdr:cNvSpPr>
      </xdr:nvSpPr>
      <xdr:spPr bwMode="auto">
        <a:xfrm>
          <a:off x="1543050" y="0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57150</xdr:colOff>
      <xdr:row>0</xdr:row>
      <xdr:rowOff>0</xdr:rowOff>
    </xdr:from>
    <xdr:to>
      <xdr:col>5</xdr:col>
      <xdr:colOff>419100</xdr:colOff>
      <xdr:row>0</xdr:row>
      <xdr:rowOff>0</xdr:rowOff>
    </xdr:to>
    <xdr:sp macro="" textlink="">
      <xdr:nvSpPr>
        <xdr:cNvPr id="2465" name="Line 10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SpPr>
          <a:spLocks noChangeShapeType="1"/>
        </xdr:cNvSpPr>
      </xdr:nvSpPr>
      <xdr:spPr bwMode="auto">
        <a:xfrm>
          <a:off x="600075" y="0"/>
          <a:ext cx="1885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390525</xdr:colOff>
      <xdr:row>0</xdr:row>
      <xdr:rowOff>0</xdr:rowOff>
    </xdr:from>
    <xdr:to>
      <xdr:col>4</xdr:col>
      <xdr:colOff>104775</xdr:colOff>
      <xdr:row>0</xdr:row>
      <xdr:rowOff>0</xdr:rowOff>
    </xdr:to>
    <xdr:sp macro="" textlink="">
      <xdr:nvSpPr>
        <xdr:cNvPr id="2466" name="Line 11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SpPr>
          <a:spLocks noChangeShapeType="1"/>
        </xdr:cNvSpPr>
      </xdr:nvSpPr>
      <xdr:spPr bwMode="auto">
        <a:xfrm>
          <a:off x="1133475" y="0"/>
          <a:ext cx="838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200025</xdr:colOff>
      <xdr:row>0</xdr:row>
      <xdr:rowOff>0</xdr:rowOff>
    </xdr:from>
    <xdr:to>
      <xdr:col>5</xdr:col>
      <xdr:colOff>95250</xdr:colOff>
      <xdr:row>0</xdr:row>
      <xdr:rowOff>0</xdr:rowOff>
    </xdr:to>
    <xdr:sp macro="" textlink="">
      <xdr:nvSpPr>
        <xdr:cNvPr id="2467" name="Line 12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SpPr>
          <a:spLocks noChangeShapeType="1"/>
        </xdr:cNvSpPr>
      </xdr:nvSpPr>
      <xdr:spPr bwMode="auto">
        <a:xfrm>
          <a:off x="942975" y="0"/>
          <a:ext cx="121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0</xdr:row>
      <xdr:rowOff>0</xdr:rowOff>
    </xdr:from>
    <xdr:to>
      <xdr:col>12</xdr:col>
      <xdr:colOff>9525</xdr:colOff>
      <xdr:row>0</xdr:row>
      <xdr:rowOff>0</xdr:rowOff>
    </xdr:to>
    <xdr:sp macro="" textlink="">
      <xdr:nvSpPr>
        <xdr:cNvPr id="2468" name="Line 13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SpPr>
          <a:spLocks noChangeShapeType="1"/>
        </xdr:cNvSpPr>
      </xdr:nvSpPr>
      <xdr:spPr bwMode="auto">
        <a:xfrm>
          <a:off x="38385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142875</xdr:colOff>
      <xdr:row>0</xdr:row>
      <xdr:rowOff>0</xdr:rowOff>
    </xdr:from>
    <xdr:to>
      <xdr:col>3</xdr:col>
      <xdr:colOff>409575</xdr:colOff>
      <xdr:row>0</xdr:row>
      <xdr:rowOff>0</xdr:rowOff>
    </xdr:to>
    <xdr:sp macro="" textlink="">
      <xdr:nvSpPr>
        <xdr:cNvPr id="2469" name="Line 14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SpPr>
          <a:spLocks noChangeShapeType="1"/>
        </xdr:cNvSpPr>
      </xdr:nvSpPr>
      <xdr:spPr bwMode="auto">
        <a:xfrm flipV="1">
          <a:off x="685800" y="0"/>
          <a:ext cx="990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409575</xdr:colOff>
      <xdr:row>0</xdr:row>
      <xdr:rowOff>0</xdr:rowOff>
    </xdr:from>
    <xdr:to>
      <xdr:col>6</xdr:col>
      <xdr:colOff>9525</xdr:colOff>
      <xdr:row>0</xdr:row>
      <xdr:rowOff>0</xdr:rowOff>
    </xdr:to>
    <xdr:sp macro="" textlink="">
      <xdr:nvSpPr>
        <xdr:cNvPr id="2470" name="Line 15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SpPr>
          <a:spLocks noChangeShapeType="1"/>
        </xdr:cNvSpPr>
      </xdr:nvSpPr>
      <xdr:spPr bwMode="auto">
        <a:xfrm>
          <a:off x="1676400" y="0"/>
          <a:ext cx="914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123825</xdr:colOff>
      <xdr:row>0</xdr:row>
      <xdr:rowOff>0</xdr:rowOff>
    </xdr:from>
    <xdr:to>
      <xdr:col>6</xdr:col>
      <xdr:colOff>28575</xdr:colOff>
      <xdr:row>0</xdr:row>
      <xdr:rowOff>0</xdr:rowOff>
    </xdr:to>
    <xdr:sp macro="" textlink="">
      <xdr:nvSpPr>
        <xdr:cNvPr id="2471" name="Line 16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SpPr>
          <a:spLocks noChangeShapeType="1"/>
        </xdr:cNvSpPr>
      </xdr:nvSpPr>
      <xdr:spPr bwMode="auto">
        <a:xfrm>
          <a:off x="666750" y="0"/>
          <a:ext cx="1943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295275</xdr:colOff>
      <xdr:row>0</xdr:row>
      <xdr:rowOff>0</xdr:rowOff>
    </xdr:from>
    <xdr:to>
      <xdr:col>5</xdr:col>
      <xdr:colOff>161925</xdr:colOff>
      <xdr:row>0</xdr:row>
      <xdr:rowOff>0</xdr:rowOff>
    </xdr:to>
    <xdr:sp macro="" textlink="">
      <xdr:nvSpPr>
        <xdr:cNvPr id="2472" name="Line 17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SpPr>
          <a:spLocks noChangeShapeType="1"/>
        </xdr:cNvSpPr>
      </xdr:nvSpPr>
      <xdr:spPr bwMode="auto">
        <a:xfrm flipV="1">
          <a:off x="1038225" y="0"/>
          <a:ext cx="1190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0</xdr:row>
      <xdr:rowOff>0</xdr:rowOff>
    </xdr:from>
    <xdr:to>
      <xdr:col>5</xdr:col>
      <xdr:colOff>295275</xdr:colOff>
      <xdr:row>0</xdr:row>
      <xdr:rowOff>0</xdr:rowOff>
    </xdr:to>
    <xdr:sp macro="" textlink="">
      <xdr:nvSpPr>
        <xdr:cNvPr id="2473" name="Line 18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SpPr>
          <a:spLocks noChangeShapeType="1"/>
        </xdr:cNvSpPr>
      </xdr:nvSpPr>
      <xdr:spPr bwMode="auto">
        <a:xfrm>
          <a:off x="885825" y="0"/>
          <a:ext cx="1476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9525</xdr:colOff>
      <xdr:row>0</xdr:row>
      <xdr:rowOff>0</xdr:rowOff>
    </xdr:from>
    <xdr:to>
      <xdr:col>4</xdr:col>
      <xdr:colOff>152400</xdr:colOff>
      <xdr:row>0</xdr:row>
      <xdr:rowOff>0</xdr:rowOff>
    </xdr:to>
    <xdr:sp macro="" textlink="">
      <xdr:nvSpPr>
        <xdr:cNvPr id="2474" name="Line 19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SpPr>
          <a:spLocks noChangeShapeType="1"/>
        </xdr:cNvSpPr>
      </xdr:nvSpPr>
      <xdr:spPr bwMode="auto">
        <a:xfrm>
          <a:off x="1276350" y="0"/>
          <a:ext cx="742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142875</xdr:colOff>
      <xdr:row>0</xdr:row>
      <xdr:rowOff>0</xdr:rowOff>
    </xdr:from>
    <xdr:to>
      <xdr:col>4</xdr:col>
      <xdr:colOff>66675</xdr:colOff>
      <xdr:row>0</xdr:row>
      <xdr:rowOff>0</xdr:rowOff>
    </xdr:to>
    <xdr:sp macro="" textlink="">
      <xdr:nvSpPr>
        <xdr:cNvPr id="2475" name="Line 20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SpPr>
          <a:spLocks noChangeShapeType="1"/>
        </xdr:cNvSpPr>
      </xdr:nvSpPr>
      <xdr:spPr bwMode="auto">
        <a:xfrm flipV="1">
          <a:off x="1409700" y="0"/>
          <a:ext cx="523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35</xdr:row>
      <xdr:rowOff>104775</xdr:rowOff>
    </xdr:from>
    <xdr:to>
      <xdr:col>16</xdr:col>
      <xdr:colOff>19050</xdr:colOff>
      <xdr:row>35</xdr:row>
      <xdr:rowOff>104775</xdr:rowOff>
    </xdr:to>
    <xdr:sp macro="" textlink="">
      <xdr:nvSpPr>
        <xdr:cNvPr id="2476" name="Line 21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SpPr>
          <a:spLocks noChangeShapeType="1"/>
        </xdr:cNvSpPr>
      </xdr:nvSpPr>
      <xdr:spPr bwMode="auto">
        <a:xfrm>
          <a:off x="1943100" y="6686550"/>
          <a:ext cx="2638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142875</xdr:colOff>
      <xdr:row>20</xdr:row>
      <xdr:rowOff>114300</xdr:rowOff>
    </xdr:from>
    <xdr:to>
      <xdr:col>16</xdr:col>
      <xdr:colOff>28575</xdr:colOff>
      <xdr:row>20</xdr:row>
      <xdr:rowOff>114300</xdr:rowOff>
    </xdr:to>
    <xdr:sp macro="" textlink="">
      <xdr:nvSpPr>
        <xdr:cNvPr id="2477" name="Line 22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SpPr>
          <a:spLocks noChangeShapeType="1"/>
        </xdr:cNvSpPr>
      </xdr:nvSpPr>
      <xdr:spPr bwMode="auto">
        <a:xfrm>
          <a:off x="2209800" y="3676650"/>
          <a:ext cx="2381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9525</xdr:colOff>
      <xdr:row>26</xdr:row>
      <xdr:rowOff>114300</xdr:rowOff>
    </xdr:from>
    <xdr:to>
      <xdr:col>16</xdr:col>
      <xdr:colOff>19050</xdr:colOff>
      <xdr:row>26</xdr:row>
      <xdr:rowOff>114300</xdr:rowOff>
    </xdr:to>
    <xdr:sp macro="" textlink="">
      <xdr:nvSpPr>
        <xdr:cNvPr id="2478" name="Line 23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SpPr>
          <a:spLocks noChangeShapeType="1"/>
        </xdr:cNvSpPr>
      </xdr:nvSpPr>
      <xdr:spPr bwMode="auto">
        <a:xfrm>
          <a:off x="2076450" y="4876800"/>
          <a:ext cx="2505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12</xdr:col>
      <xdr:colOff>9525</xdr:colOff>
      <xdr:row>3</xdr:row>
      <xdr:rowOff>85725</xdr:rowOff>
    </xdr:from>
    <xdr:to>
      <xdr:col>12</xdr:col>
      <xdr:colOff>9525</xdr:colOff>
      <xdr:row>12</xdr:row>
      <xdr:rowOff>9525</xdr:rowOff>
    </xdr:to>
    <xdr:sp macro="" textlink="">
      <xdr:nvSpPr>
        <xdr:cNvPr id="2479" name="Line 24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SpPr>
          <a:spLocks noChangeShapeType="1"/>
        </xdr:cNvSpPr>
      </xdr:nvSpPr>
      <xdr:spPr bwMode="auto">
        <a:xfrm>
          <a:off x="3838575" y="647700"/>
          <a:ext cx="0" cy="1381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9525</xdr:colOff>
      <xdr:row>3</xdr:row>
      <xdr:rowOff>85725</xdr:rowOff>
    </xdr:from>
    <xdr:to>
      <xdr:col>12</xdr:col>
      <xdr:colOff>9525</xdr:colOff>
      <xdr:row>3</xdr:row>
      <xdr:rowOff>95250</xdr:rowOff>
    </xdr:to>
    <xdr:sp macro="" textlink="">
      <xdr:nvSpPr>
        <xdr:cNvPr id="2484" name="Line 29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SpPr>
          <a:spLocks noChangeShapeType="1"/>
        </xdr:cNvSpPr>
      </xdr:nvSpPr>
      <xdr:spPr bwMode="auto">
        <a:xfrm flipH="1">
          <a:off x="3562350" y="647700"/>
          <a:ext cx="2762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7</xdr:row>
      <xdr:rowOff>152400</xdr:rowOff>
    </xdr:from>
    <xdr:to>
      <xdr:col>12</xdr:col>
      <xdr:colOff>0</xdr:colOff>
      <xdr:row>8</xdr:row>
      <xdr:rowOff>0</xdr:rowOff>
    </xdr:to>
    <xdr:sp macro="" textlink="">
      <xdr:nvSpPr>
        <xdr:cNvPr id="2485" name="Line 31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SpPr>
          <a:spLocks noChangeShapeType="1"/>
        </xdr:cNvSpPr>
      </xdr:nvSpPr>
      <xdr:spPr bwMode="auto">
        <a:xfrm flipH="1">
          <a:off x="3552825" y="1362075"/>
          <a:ext cx="2762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12</xdr:row>
      <xdr:rowOff>9525</xdr:rowOff>
    </xdr:from>
    <xdr:to>
      <xdr:col>12</xdr:col>
      <xdr:colOff>0</xdr:colOff>
      <xdr:row>12</xdr:row>
      <xdr:rowOff>9525</xdr:rowOff>
    </xdr:to>
    <xdr:sp macro="" textlink="">
      <xdr:nvSpPr>
        <xdr:cNvPr id="2486" name="Line 32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SpPr>
          <a:spLocks noChangeShapeType="1"/>
        </xdr:cNvSpPr>
      </xdr:nvSpPr>
      <xdr:spPr bwMode="auto">
        <a:xfrm flipH="1">
          <a:off x="3552825" y="20288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10</xdr:row>
      <xdr:rowOff>0</xdr:rowOff>
    </xdr:from>
    <xdr:to>
      <xdr:col>12</xdr:col>
      <xdr:colOff>9525</xdr:colOff>
      <xdr:row>10</xdr:row>
      <xdr:rowOff>0</xdr:rowOff>
    </xdr:to>
    <xdr:sp macro="" textlink="">
      <xdr:nvSpPr>
        <xdr:cNvPr id="2487" name="Line 33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SpPr>
          <a:spLocks noChangeShapeType="1"/>
        </xdr:cNvSpPr>
      </xdr:nvSpPr>
      <xdr:spPr bwMode="auto">
        <a:xfrm flipH="1" flipV="1">
          <a:off x="3552825" y="169545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371475</xdr:colOff>
      <xdr:row>33</xdr:row>
      <xdr:rowOff>104775</xdr:rowOff>
    </xdr:from>
    <xdr:to>
      <xdr:col>16</xdr:col>
      <xdr:colOff>0</xdr:colOff>
      <xdr:row>33</xdr:row>
      <xdr:rowOff>104775</xdr:rowOff>
    </xdr:to>
    <xdr:sp macro="" textlink="">
      <xdr:nvSpPr>
        <xdr:cNvPr id="2488" name="Line 34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SpPr>
          <a:spLocks noChangeShapeType="1"/>
        </xdr:cNvSpPr>
      </xdr:nvSpPr>
      <xdr:spPr bwMode="auto">
        <a:xfrm>
          <a:off x="1638300" y="6276975"/>
          <a:ext cx="2924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161925</xdr:colOff>
      <xdr:row>5</xdr:row>
      <xdr:rowOff>152400</xdr:rowOff>
    </xdr:from>
    <xdr:to>
      <xdr:col>11</xdr:col>
      <xdr:colOff>276225</xdr:colOff>
      <xdr:row>5</xdr:row>
      <xdr:rowOff>152400</xdr:rowOff>
    </xdr:to>
    <xdr:sp macro="" textlink="">
      <xdr:nvSpPr>
        <xdr:cNvPr id="2492" name="Line 33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SpPr>
          <a:spLocks noChangeShapeType="1"/>
        </xdr:cNvSpPr>
      </xdr:nvSpPr>
      <xdr:spPr bwMode="auto">
        <a:xfrm flipH="1" flipV="1">
          <a:off x="3543300" y="103822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108857</xdr:colOff>
      <xdr:row>31</xdr:row>
      <xdr:rowOff>68035</xdr:rowOff>
    </xdr:from>
    <xdr:to>
      <xdr:col>15</xdr:col>
      <xdr:colOff>235063</xdr:colOff>
      <xdr:row>31</xdr:row>
      <xdr:rowOff>68035</xdr:rowOff>
    </xdr:to>
    <xdr:sp macro="" textlink="">
      <xdr:nvSpPr>
        <xdr:cNvPr id="40" name="Line 37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ShapeType="1"/>
        </xdr:cNvSpPr>
      </xdr:nvSpPr>
      <xdr:spPr bwMode="auto">
        <a:xfrm>
          <a:off x="3905250" y="6055178"/>
          <a:ext cx="107870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313765</xdr:colOff>
      <xdr:row>9</xdr:row>
      <xdr:rowOff>22411</xdr:rowOff>
    </xdr:from>
    <xdr:to>
      <xdr:col>5</xdr:col>
      <xdr:colOff>179294</xdr:colOff>
      <xdr:row>9</xdr:row>
      <xdr:rowOff>33617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flipV="1">
          <a:off x="1053353" y="1680882"/>
          <a:ext cx="1199029" cy="112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44824</xdr:colOff>
      <xdr:row>6</xdr:row>
      <xdr:rowOff>100852</xdr:rowOff>
    </xdr:from>
    <xdr:to>
      <xdr:col>4</xdr:col>
      <xdr:colOff>134472</xdr:colOff>
      <xdr:row>6</xdr:row>
      <xdr:rowOff>112058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V="1">
          <a:off x="1311089" y="1288676"/>
          <a:ext cx="694765" cy="112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0</xdr:row>
      <xdr:rowOff>0</xdr:rowOff>
    </xdr:from>
    <xdr:to>
      <xdr:col>12</xdr:col>
      <xdr:colOff>9525</xdr:colOff>
      <xdr:row>0</xdr:row>
      <xdr:rowOff>0</xdr:rowOff>
    </xdr:to>
    <xdr:sp macro="" textlink="">
      <xdr:nvSpPr>
        <xdr:cNvPr id="3513" name="Line 1">
          <a:extLst>
            <a:ext uri="{FF2B5EF4-FFF2-40B4-BE49-F238E27FC236}">
              <a16:creationId xmlns:a16="http://schemas.microsoft.com/office/drawing/2014/main" id="{00000000-0008-0000-0100-0000B90D0000}"/>
            </a:ext>
          </a:extLst>
        </xdr:cNvPr>
        <xdr:cNvSpPr>
          <a:spLocks noChangeShapeType="1"/>
        </xdr:cNvSpPr>
      </xdr:nvSpPr>
      <xdr:spPr bwMode="auto">
        <a:xfrm>
          <a:off x="390525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142875</xdr:colOff>
      <xdr:row>0</xdr:row>
      <xdr:rowOff>0</xdr:rowOff>
    </xdr:from>
    <xdr:to>
      <xdr:col>3</xdr:col>
      <xdr:colOff>409575</xdr:colOff>
      <xdr:row>0</xdr:row>
      <xdr:rowOff>0</xdr:rowOff>
    </xdr:to>
    <xdr:sp macro="" textlink="">
      <xdr:nvSpPr>
        <xdr:cNvPr id="3514" name="Line 2">
          <a:extLst>
            <a:ext uri="{FF2B5EF4-FFF2-40B4-BE49-F238E27FC236}">
              <a16:creationId xmlns:a16="http://schemas.microsoft.com/office/drawing/2014/main" id="{00000000-0008-0000-0100-0000BA0D0000}"/>
            </a:ext>
          </a:extLst>
        </xdr:cNvPr>
        <xdr:cNvSpPr>
          <a:spLocks noChangeShapeType="1"/>
        </xdr:cNvSpPr>
      </xdr:nvSpPr>
      <xdr:spPr bwMode="auto">
        <a:xfrm flipV="1">
          <a:off x="685800" y="0"/>
          <a:ext cx="990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409575</xdr:colOff>
      <xdr:row>0</xdr:row>
      <xdr:rowOff>0</xdr:rowOff>
    </xdr:from>
    <xdr:to>
      <xdr:col>6</xdr:col>
      <xdr:colOff>9525</xdr:colOff>
      <xdr:row>0</xdr:row>
      <xdr:rowOff>0</xdr:rowOff>
    </xdr:to>
    <xdr:sp macro="" textlink="">
      <xdr:nvSpPr>
        <xdr:cNvPr id="3515" name="Line 3">
          <a:extLst>
            <a:ext uri="{FF2B5EF4-FFF2-40B4-BE49-F238E27FC236}">
              <a16:creationId xmlns:a16="http://schemas.microsoft.com/office/drawing/2014/main" id="{00000000-0008-0000-0100-0000BB0D0000}"/>
            </a:ext>
          </a:extLst>
        </xdr:cNvPr>
        <xdr:cNvSpPr>
          <a:spLocks noChangeShapeType="1"/>
        </xdr:cNvSpPr>
      </xdr:nvSpPr>
      <xdr:spPr bwMode="auto">
        <a:xfrm>
          <a:off x="1676400" y="0"/>
          <a:ext cx="895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123825</xdr:colOff>
      <xdr:row>0</xdr:row>
      <xdr:rowOff>0</xdr:rowOff>
    </xdr:from>
    <xdr:to>
      <xdr:col>6</xdr:col>
      <xdr:colOff>28575</xdr:colOff>
      <xdr:row>0</xdr:row>
      <xdr:rowOff>0</xdr:rowOff>
    </xdr:to>
    <xdr:sp macro="" textlink="">
      <xdr:nvSpPr>
        <xdr:cNvPr id="3516" name="Line 4">
          <a:extLst>
            <a:ext uri="{FF2B5EF4-FFF2-40B4-BE49-F238E27FC236}">
              <a16:creationId xmlns:a16="http://schemas.microsoft.com/office/drawing/2014/main" id="{00000000-0008-0000-0100-0000BC0D0000}"/>
            </a:ext>
          </a:extLst>
        </xdr:cNvPr>
        <xdr:cNvSpPr>
          <a:spLocks noChangeShapeType="1"/>
        </xdr:cNvSpPr>
      </xdr:nvSpPr>
      <xdr:spPr bwMode="auto">
        <a:xfrm>
          <a:off x="666750" y="0"/>
          <a:ext cx="1924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295275</xdr:colOff>
      <xdr:row>0</xdr:row>
      <xdr:rowOff>0</xdr:rowOff>
    </xdr:from>
    <xdr:to>
      <xdr:col>5</xdr:col>
      <xdr:colOff>161925</xdr:colOff>
      <xdr:row>0</xdr:row>
      <xdr:rowOff>0</xdr:rowOff>
    </xdr:to>
    <xdr:sp macro="" textlink="">
      <xdr:nvSpPr>
        <xdr:cNvPr id="3517" name="Line 5">
          <a:extLst>
            <a:ext uri="{FF2B5EF4-FFF2-40B4-BE49-F238E27FC236}">
              <a16:creationId xmlns:a16="http://schemas.microsoft.com/office/drawing/2014/main" id="{00000000-0008-0000-0100-0000BD0D0000}"/>
            </a:ext>
          </a:extLst>
        </xdr:cNvPr>
        <xdr:cNvSpPr>
          <a:spLocks noChangeShapeType="1"/>
        </xdr:cNvSpPr>
      </xdr:nvSpPr>
      <xdr:spPr bwMode="auto">
        <a:xfrm flipV="1">
          <a:off x="1038225" y="0"/>
          <a:ext cx="1190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9525</xdr:colOff>
      <xdr:row>0</xdr:row>
      <xdr:rowOff>0</xdr:rowOff>
    </xdr:from>
    <xdr:to>
      <xdr:col>4</xdr:col>
      <xdr:colOff>152400</xdr:colOff>
      <xdr:row>0</xdr:row>
      <xdr:rowOff>0</xdr:rowOff>
    </xdr:to>
    <xdr:sp macro="" textlink="">
      <xdr:nvSpPr>
        <xdr:cNvPr id="3518" name="Line 6">
          <a:extLst>
            <a:ext uri="{FF2B5EF4-FFF2-40B4-BE49-F238E27FC236}">
              <a16:creationId xmlns:a16="http://schemas.microsoft.com/office/drawing/2014/main" id="{00000000-0008-0000-0100-0000BE0D0000}"/>
            </a:ext>
          </a:extLst>
        </xdr:cNvPr>
        <xdr:cNvSpPr>
          <a:spLocks noChangeShapeType="1"/>
        </xdr:cNvSpPr>
      </xdr:nvSpPr>
      <xdr:spPr bwMode="auto">
        <a:xfrm>
          <a:off x="1276350" y="0"/>
          <a:ext cx="742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142875</xdr:colOff>
      <xdr:row>0</xdr:row>
      <xdr:rowOff>0</xdr:rowOff>
    </xdr:from>
    <xdr:to>
      <xdr:col>4</xdr:col>
      <xdr:colOff>66675</xdr:colOff>
      <xdr:row>0</xdr:row>
      <xdr:rowOff>0</xdr:rowOff>
    </xdr:to>
    <xdr:sp macro="" textlink="">
      <xdr:nvSpPr>
        <xdr:cNvPr id="3519" name="Line 7">
          <a:extLst>
            <a:ext uri="{FF2B5EF4-FFF2-40B4-BE49-F238E27FC236}">
              <a16:creationId xmlns:a16="http://schemas.microsoft.com/office/drawing/2014/main" id="{00000000-0008-0000-0100-0000BF0D0000}"/>
            </a:ext>
          </a:extLst>
        </xdr:cNvPr>
        <xdr:cNvSpPr>
          <a:spLocks noChangeShapeType="1"/>
        </xdr:cNvSpPr>
      </xdr:nvSpPr>
      <xdr:spPr bwMode="auto">
        <a:xfrm flipV="1">
          <a:off x="1409700" y="0"/>
          <a:ext cx="523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0</xdr:row>
      <xdr:rowOff>0</xdr:rowOff>
    </xdr:from>
    <xdr:to>
      <xdr:col>12</xdr:col>
      <xdr:colOff>9525</xdr:colOff>
      <xdr:row>0</xdr:row>
      <xdr:rowOff>0</xdr:rowOff>
    </xdr:to>
    <xdr:sp macro="" textlink="">
      <xdr:nvSpPr>
        <xdr:cNvPr id="3520" name="Line 8">
          <a:extLst>
            <a:ext uri="{FF2B5EF4-FFF2-40B4-BE49-F238E27FC236}">
              <a16:creationId xmlns:a16="http://schemas.microsoft.com/office/drawing/2014/main" id="{00000000-0008-0000-0100-0000C00D0000}"/>
            </a:ext>
          </a:extLst>
        </xdr:cNvPr>
        <xdr:cNvSpPr>
          <a:spLocks noChangeShapeType="1"/>
        </xdr:cNvSpPr>
      </xdr:nvSpPr>
      <xdr:spPr bwMode="auto">
        <a:xfrm>
          <a:off x="390525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142875</xdr:colOff>
      <xdr:row>0</xdr:row>
      <xdr:rowOff>0</xdr:rowOff>
    </xdr:from>
    <xdr:to>
      <xdr:col>3</xdr:col>
      <xdr:colOff>409575</xdr:colOff>
      <xdr:row>0</xdr:row>
      <xdr:rowOff>0</xdr:rowOff>
    </xdr:to>
    <xdr:sp macro="" textlink="">
      <xdr:nvSpPr>
        <xdr:cNvPr id="3521" name="Line 9">
          <a:extLst>
            <a:ext uri="{FF2B5EF4-FFF2-40B4-BE49-F238E27FC236}">
              <a16:creationId xmlns:a16="http://schemas.microsoft.com/office/drawing/2014/main" id="{00000000-0008-0000-0100-0000C10D0000}"/>
            </a:ext>
          </a:extLst>
        </xdr:cNvPr>
        <xdr:cNvSpPr>
          <a:spLocks noChangeShapeType="1"/>
        </xdr:cNvSpPr>
      </xdr:nvSpPr>
      <xdr:spPr bwMode="auto">
        <a:xfrm flipV="1">
          <a:off x="685800" y="0"/>
          <a:ext cx="990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409575</xdr:colOff>
      <xdr:row>0</xdr:row>
      <xdr:rowOff>0</xdr:rowOff>
    </xdr:from>
    <xdr:to>
      <xdr:col>6</xdr:col>
      <xdr:colOff>9525</xdr:colOff>
      <xdr:row>0</xdr:row>
      <xdr:rowOff>0</xdr:rowOff>
    </xdr:to>
    <xdr:sp macro="" textlink="">
      <xdr:nvSpPr>
        <xdr:cNvPr id="3522" name="Line 10">
          <a:extLst>
            <a:ext uri="{FF2B5EF4-FFF2-40B4-BE49-F238E27FC236}">
              <a16:creationId xmlns:a16="http://schemas.microsoft.com/office/drawing/2014/main" id="{00000000-0008-0000-0100-0000C20D0000}"/>
            </a:ext>
          </a:extLst>
        </xdr:cNvPr>
        <xdr:cNvSpPr>
          <a:spLocks noChangeShapeType="1"/>
        </xdr:cNvSpPr>
      </xdr:nvSpPr>
      <xdr:spPr bwMode="auto">
        <a:xfrm>
          <a:off x="1676400" y="0"/>
          <a:ext cx="895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123825</xdr:colOff>
      <xdr:row>0</xdr:row>
      <xdr:rowOff>0</xdr:rowOff>
    </xdr:from>
    <xdr:to>
      <xdr:col>6</xdr:col>
      <xdr:colOff>28575</xdr:colOff>
      <xdr:row>0</xdr:row>
      <xdr:rowOff>0</xdr:rowOff>
    </xdr:to>
    <xdr:sp macro="" textlink="">
      <xdr:nvSpPr>
        <xdr:cNvPr id="3523" name="Line 11">
          <a:extLst>
            <a:ext uri="{FF2B5EF4-FFF2-40B4-BE49-F238E27FC236}">
              <a16:creationId xmlns:a16="http://schemas.microsoft.com/office/drawing/2014/main" id="{00000000-0008-0000-0100-0000C30D0000}"/>
            </a:ext>
          </a:extLst>
        </xdr:cNvPr>
        <xdr:cNvSpPr>
          <a:spLocks noChangeShapeType="1"/>
        </xdr:cNvSpPr>
      </xdr:nvSpPr>
      <xdr:spPr bwMode="auto">
        <a:xfrm>
          <a:off x="666750" y="0"/>
          <a:ext cx="1924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295275</xdr:colOff>
      <xdr:row>0</xdr:row>
      <xdr:rowOff>0</xdr:rowOff>
    </xdr:from>
    <xdr:to>
      <xdr:col>5</xdr:col>
      <xdr:colOff>161925</xdr:colOff>
      <xdr:row>0</xdr:row>
      <xdr:rowOff>0</xdr:rowOff>
    </xdr:to>
    <xdr:sp macro="" textlink="">
      <xdr:nvSpPr>
        <xdr:cNvPr id="3524" name="Line 12">
          <a:extLst>
            <a:ext uri="{FF2B5EF4-FFF2-40B4-BE49-F238E27FC236}">
              <a16:creationId xmlns:a16="http://schemas.microsoft.com/office/drawing/2014/main" id="{00000000-0008-0000-0100-0000C40D0000}"/>
            </a:ext>
          </a:extLst>
        </xdr:cNvPr>
        <xdr:cNvSpPr>
          <a:spLocks noChangeShapeType="1"/>
        </xdr:cNvSpPr>
      </xdr:nvSpPr>
      <xdr:spPr bwMode="auto">
        <a:xfrm flipV="1">
          <a:off x="1038225" y="0"/>
          <a:ext cx="1190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9525</xdr:colOff>
      <xdr:row>0</xdr:row>
      <xdr:rowOff>0</xdr:rowOff>
    </xdr:from>
    <xdr:to>
      <xdr:col>4</xdr:col>
      <xdr:colOff>152400</xdr:colOff>
      <xdr:row>0</xdr:row>
      <xdr:rowOff>0</xdr:rowOff>
    </xdr:to>
    <xdr:sp macro="" textlink="">
      <xdr:nvSpPr>
        <xdr:cNvPr id="3525" name="Line 13">
          <a:extLst>
            <a:ext uri="{FF2B5EF4-FFF2-40B4-BE49-F238E27FC236}">
              <a16:creationId xmlns:a16="http://schemas.microsoft.com/office/drawing/2014/main" id="{00000000-0008-0000-0100-0000C50D0000}"/>
            </a:ext>
          </a:extLst>
        </xdr:cNvPr>
        <xdr:cNvSpPr>
          <a:spLocks noChangeShapeType="1"/>
        </xdr:cNvSpPr>
      </xdr:nvSpPr>
      <xdr:spPr bwMode="auto">
        <a:xfrm>
          <a:off x="1276350" y="0"/>
          <a:ext cx="742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142875</xdr:colOff>
      <xdr:row>0</xdr:row>
      <xdr:rowOff>0</xdr:rowOff>
    </xdr:from>
    <xdr:to>
      <xdr:col>4</xdr:col>
      <xdr:colOff>66675</xdr:colOff>
      <xdr:row>0</xdr:row>
      <xdr:rowOff>0</xdr:rowOff>
    </xdr:to>
    <xdr:sp macro="" textlink="">
      <xdr:nvSpPr>
        <xdr:cNvPr id="3526" name="Line 14">
          <a:extLst>
            <a:ext uri="{FF2B5EF4-FFF2-40B4-BE49-F238E27FC236}">
              <a16:creationId xmlns:a16="http://schemas.microsoft.com/office/drawing/2014/main" id="{00000000-0008-0000-0100-0000C60D0000}"/>
            </a:ext>
          </a:extLst>
        </xdr:cNvPr>
        <xdr:cNvSpPr>
          <a:spLocks noChangeShapeType="1"/>
        </xdr:cNvSpPr>
      </xdr:nvSpPr>
      <xdr:spPr bwMode="auto">
        <a:xfrm flipV="1">
          <a:off x="1409700" y="0"/>
          <a:ext cx="523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0</xdr:row>
      <xdr:rowOff>0</xdr:rowOff>
    </xdr:from>
    <xdr:to>
      <xdr:col>12</xdr:col>
      <xdr:colOff>9525</xdr:colOff>
      <xdr:row>0</xdr:row>
      <xdr:rowOff>0</xdr:rowOff>
    </xdr:to>
    <xdr:sp macro="" textlink="">
      <xdr:nvSpPr>
        <xdr:cNvPr id="3527" name="Line 15">
          <a:extLst>
            <a:ext uri="{FF2B5EF4-FFF2-40B4-BE49-F238E27FC236}">
              <a16:creationId xmlns:a16="http://schemas.microsoft.com/office/drawing/2014/main" id="{00000000-0008-0000-0100-0000C70D0000}"/>
            </a:ext>
          </a:extLst>
        </xdr:cNvPr>
        <xdr:cNvSpPr>
          <a:spLocks noChangeShapeType="1"/>
        </xdr:cNvSpPr>
      </xdr:nvSpPr>
      <xdr:spPr bwMode="auto">
        <a:xfrm>
          <a:off x="390525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142875</xdr:colOff>
      <xdr:row>0</xdr:row>
      <xdr:rowOff>0</xdr:rowOff>
    </xdr:from>
    <xdr:to>
      <xdr:col>3</xdr:col>
      <xdr:colOff>409575</xdr:colOff>
      <xdr:row>0</xdr:row>
      <xdr:rowOff>0</xdr:rowOff>
    </xdr:to>
    <xdr:sp macro="" textlink="">
      <xdr:nvSpPr>
        <xdr:cNvPr id="3528" name="Line 16">
          <a:extLst>
            <a:ext uri="{FF2B5EF4-FFF2-40B4-BE49-F238E27FC236}">
              <a16:creationId xmlns:a16="http://schemas.microsoft.com/office/drawing/2014/main" id="{00000000-0008-0000-0100-0000C80D0000}"/>
            </a:ext>
          </a:extLst>
        </xdr:cNvPr>
        <xdr:cNvSpPr>
          <a:spLocks noChangeShapeType="1"/>
        </xdr:cNvSpPr>
      </xdr:nvSpPr>
      <xdr:spPr bwMode="auto">
        <a:xfrm flipV="1">
          <a:off x="685800" y="0"/>
          <a:ext cx="990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409575</xdr:colOff>
      <xdr:row>0</xdr:row>
      <xdr:rowOff>0</xdr:rowOff>
    </xdr:from>
    <xdr:to>
      <xdr:col>6</xdr:col>
      <xdr:colOff>9525</xdr:colOff>
      <xdr:row>0</xdr:row>
      <xdr:rowOff>0</xdr:rowOff>
    </xdr:to>
    <xdr:sp macro="" textlink="">
      <xdr:nvSpPr>
        <xdr:cNvPr id="3529" name="Line 17">
          <a:extLst>
            <a:ext uri="{FF2B5EF4-FFF2-40B4-BE49-F238E27FC236}">
              <a16:creationId xmlns:a16="http://schemas.microsoft.com/office/drawing/2014/main" id="{00000000-0008-0000-0100-0000C90D0000}"/>
            </a:ext>
          </a:extLst>
        </xdr:cNvPr>
        <xdr:cNvSpPr>
          <a:spLocks noChangeShapeType="1"/>
        </xdr:cNvSpPr>
      </xdr:nvSpPr>
      <xdr:spPr bwMode="auto">
        <a:xfrm>
          <a:off x="1676400" y="0"/>
          <a:ext cx="895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123825</xdr:colOff>
      <xdr:row>0</xdr:row>
      <xdr:rowOff>0</xdr:rowOff>
    </xdr:from>
    <xdr:to>
      <xdr:col>6</xdr:col>
      <xdr:colOff>28575</xdr:colOff>
      <xdr:row>0</xdr:row>
      <xdr:rowOff>0</xdr:rowOff>
    </xdr:to>
    <xdr:sp macro="" textlink="">
      <xdr:nvSpPr>
        <xdr:cNvPr id="3530" name="Line 18">
          <a:extLst>
            <a:ext uri="{FF2B5EF4-FFF2-40B4-BE49-F238E27FC236}">
              <a16:creationId xmlns:a16="http://schemas.microsoft.com/office/drawing/2014/main" id="{00000000-0008-0000-0100-0000CA0D0000}"/>
            </a:ext>
          </a:extLst>
        </xdr:cNvPr>
        <xdr:cNvSpPr>
          <a:spLocks noChangeShapeType="1"/>
        </xdr:cNvSpPr>
      </xdr:nvSpPr>
      <xdr:spPr bwMode="auto">
        <a:xfrm>
          <a:off x="666750" y="0"/>
          <a:ext cx="1924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295275</xdr:colOff>
      <xdr:row>0</xdr:row>
      <xdr:rowOff>0</xdr:rowOff>
    </xdr:from>
    <xdr:to>
      <xdr:col>5</xdr:col>
      <xdr:colOff>161925</xdr:colOff>
      <xdr:row>0</xdr:row>
      <xdr:rowOff>0</xdr:rowOff>
    </xdr:to>
    <xdr:sp macro="" textlink="">
      <xdr:nvSpPr>
        <xdr:cNvPr id="3531" name="Line 19">
          <a:extLst>
            <a:ext uri="{FF2B5EF4-FFF2-40B4-BE49-F238E27FC236}">
              <a16:creationId xmlns:a16="http://schemas.microsoft.com/office/drawing/2014/main" id="{00000000-0008-0000-0100-0000CB0D0000}"/>
            </a:ext>
          </a:extLst>
        </xdr:cNvPr>
        <xdr:cNvSpPr>
          <a:spLocks noChangeShapeType="1"/>
        </xdr:cNvSpPr>
      </xdr:nvSpPr>
      <xdr:spPr bwMode="auto">
        <a:xfrm flipV="1">
          <a:off x="1038225" y="0"/>
          <a:ext cx="1190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0</xdr:row>
      <xdr:rowOff>0</xdr:rowOff>
    </xdr:from>
    <xdr:to>
      <xdr:col>5</xdr:col>
      <xdr:colOff>295275</xdr:colOff>
      <xdr:row>0</xdr:row>
      <xdr:rowOff>0</xdr:rowOff>
    </xdr:to>
    <xdr:sp macro="" textlink="">
      <xdr:nvSpPr>
        <xdr:cNvPr id="3532" name="Line 20">
          <a:extLst>
            <a:ext uri="{FF2B5EF4-FFF2-40B4-BE49-F238E27FC236}">
              <a16:creationId xmlns:a16="http://schemas.microsoft.com/office/drawing/2014/main" id="{00000000-0008-0000-0100-0000CC0D0000}"/>
            </a:ext>
          </a:extLst>
        </xdr:cNvPr>
        <xdr:cNvSpPr>
          <a:spLocks noChangeShapeType="1"/>
        </xdr:cNvSpPr>
      </xdr:nvSpPr>
      <xdr:spPr bwMode="auto">
        <a:xfrm>
          <a:off x="885825" y="0"/>
          <a:ext cx="1476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9525</xdr:colOff>
      <xdr:row>0</xdr:row>
      <xdr:rowOff>0</xdr:rowOff>
    </xdr:from>
    <xdr:to>
      <xdr:col>4</xdr:col>
      <xdr:colOff>152400</xdr:colOff>
      <xdr:row>0</xdr:row>
      <xdr:rowOff>0</xdr:rowOff>
    </xdr:to>
    <xdr:sp macro="" textlink="">
      <xdr:nvSpPr>
        <xdr:cNvPr id="3533" name="Line 21">
          <a:extLst>
            <a:ext uri="{FF2B5EF4-FFF2-40B4-BE49-F238E27FC236}">
              <a16:creationId xmlns:a16="http://schemas.microsoft.com/office/drawing/2014/main" id="{00000000-0008-0000-0100-0000CD0D0000}"/>
            </a:ext>
          </a:extLst>
        </xdr:cNvPr>
        <xdr:cNvSpPr>
          <a:spLocks noChangeShapeType="1"/>
        </xdr:cNvSpPr>
      </xdr:nvSpPr>
      <xdr:spPr bwMode="auto">
        <a:xfrm>
          <a:off x="1276350" y="0"/>
          <a:ext cx="742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142875</xdr:colOff>
      <xdr:row>0</xdr:row>
      <xdr:rowOff>0</xdr:rowOff>
    </xdr:from>
    <xdr:to>
      <xdr:col>4</xdr:col>
      <xdr:colOff>66675</xdr:colOff>
      <xdr:row>0</xdr:row>
      <xdr:rowOff>0</xdr:rowOff>
    </xdr:to>
    <xdr:sp macro="" textlink="">
      <xdr:nvSpPr>
        <xdr:cNvPr id="3534" name="Line 22">
          <a:extLst>
            <a:ext uri="{FF2B5EF4-FFF2-40B4-BE49-F238E27FC236}">
              <a16:creationId xmlns:a16="http://schemas.microsoft.com/office/drawing/2014/main" id="{00000000-0008-0000-0100-0000CE0D0000}"/>
            </a:ext>
          </a:extLst>
        </xdr:cNvPr>
        <xdr:cNvSpPr>
          <a:spLocks noChangeShapeType="1"/>
        </xdr:cNvSpPr>
      </xdr:nvSpPr>
      <xdr:spPr bwMode="auto">
        <a:xfrm flipV="1">
          <a:off x="1409700" y="0"/>
          <a:ext cx="523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261462</xdr:colOff>
      <xdr:row>3</xdr:row>
      <xdr:rowOff>85725</xdr:rowOff>
    </xdr:from>
    <xdr:to>
      <xdr:col>12</xdr:col>
      <xdr:colOff>9525</xdr:colOff>
      <xdr:row>13</xdr:row>
      <xdr:rowOff>130968</xdr:rowOff>
    </xdr:to>
    <xdr:sp macro="" textlink="">
      <xdr:nvSpPr>
        <xdr:cNvPr id="3538" name="Line 26">
          <a:extLst>
            <a:ext uri="{FF2B5EF4-FFF2-40B4-BE49-F238E27FC236}">
              <a16:creationId xmlns:a16="http://schemas.microsoft.com/office/drawing/2014/main" id="{00000000-0008-0000-0100-0000D20D0000}"/>
            </a:ext>
          </a:extLst>
        </xdr:cNvPr>
        <xdr:cNvSpPr>
          <a:spLocks noChangeShapeType="1"/>
        </xdr:cNvSpPr>
      </xdr:nvSpPr>
      <xdr:spPr bwMode="auto">
        <a:xfrm flipH="1">
          <a:off x="3976212" y="681038"/>
          <a:ext cx="45719" cy="171211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250031</xdr:colOff>
      <xdr:row>3</xdr:row>
      <xdr:rowOff>95248</xdr:rowOff>
    </xdr:from>
    <xdr:to>
      <xdr:col>3</xdr:col>
      <xdr:colOff>404813</xdr:colOff>
      <xdr:row>12</xdr:row>
      <xdr:rowOff>119062</xdr:rowOff>
    </xdr:to>
    <xdr:sp macro="" textlink="">
      <xdr:nvSpPr>
        <xdr:cNvPr id="3539" name="Line 27">
          <a:extLst>
            <a:ext uri="{FF2B5EF4-FFF2-40B4-BE49-F238E27FC236}">
              <a16:creationId xmlns:a16="http://schemas.microsoft.com/office/drawing/2014/main" id="{00000000-0008-0000-0100-0000D30D0000}"/>
            </a:ext>
          </a:extLst>
        </xdr:cNvPr>
        <xdr:cNvSpPr>
          <a:spLocks noChangeShapeType="1"/>
        </xdr:cNvSpPr>
      </xdr:nvSpPr>
      <xdr:spPr bwMode="auto">
        <a:xfrm flipV="1">
          <a:off x="1000125" y="690561"/>
          <a:ext cx="785813" cy="15240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416721</xdr:colOff>
      <xdr:row>3</xdr:row>
      <xdr:rowOff>119062</xdr:rowOff>
    </xdr:from>
    <xdr:to>
      <xdr:col>5</xdr:col>
      <xdr:colOff>428626</xdr:colOff>
      <xdr:row>12</xdr:row>
      <xdr:rowOff>107157</xdr:rowOff>
    </xdr:to>
    <xdr:sp macro="" textlink="">
      <xdr:nvSpPr>
        <xdr:cNvPr id="3540" name="Line 28">
          <a:extLst>
            <a:ext uri="{FF2B5EF4-FFF2-40B4-BE49-F238E27FC236}">
              <a16:creationId xmlns:a16="http://schemas.microsoft.com/office/drawing/2014/main" id="{00000000-0008-0000-0100-0000D40D0000}"/>
            </a:ext>
          </a:extLst>
        </xdr:cNvPr>
        <xdr:cNvSpPr>
          <a:spLocks noChangeShapeType="1"/>
        </xdr:cNvSpPr>
      </xdr:nvSpPr>
      <xdr:spPr bwMode="auto">
        <a:xfrm>
          <a:off x="1797846" y="714375"/>
          <a:ext cx="809624" cy="148828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9525</xdr:colOff>
      <xdr:row>3</xdr:row>
      <xdr:rowOff>85725</xdr:rowOff>
    </xdr:from>
    <xdr:to>
      <xdr:col>12</xdr:col>
      <xdr:colOff>9525</xdr:colOff>
      <xdr:row>3</xdr:row>
      <xdr:rowOff>95250</xdr:rowOff>
    </xdr:to>
    <xdr:sp macro="" textlink="">
      <xdr:nvSpPr>
        <xdr:cNvPr id="3543" name="Line 31">
          <a:extLst>
            <a:ext uri="{FF2B5EF4-FFF2-40B4-BE49-F238E27FC236}">
              <a16:creationId xmlns:a16="http://schemas.microsoft.com/office/drawing/2014/main" id="{00000000-0008-0000-0100-0000D70D0000}"/>
            </a:ext>
          </a:extLst>
        </xdr:cNvPr>
        <xdr:cNvSpPr>
          <a:spLocks noChangeShapeType="1"/>
        </xdr:cNvSpPr>
      </xdr:nvSpPr>
      <xdr:spPr bwMode="auto">
        <a:xfrm flipH="1">
          <a:off x="3609975" y="685800"/>
          <a:ext cx="29527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9</xdr:row>
      <xdr:rowOff>152400</xdr:rowOff>
    </xdr:from>
    <xdr:to>
      <xdr:col>12</xdr:col>
      <xdr:colOff>0</xdr:colOff>
      <xdr:row>10</xdr:row>
      <xdr:rowOff>0</xdr:rowOff>
    </xdr:to>
    <xdr:sp macro="" textlink="">
      <xdr:nvSpPr>
        <xdr:cNvPr id="3544" name="Line 33">
          <a:extLst>
            <a:ext uri="{FF2B5EF4-FFF2-40B4-BE49-F238E27FC236}">
              <a16:creationId xmlns:a16="http://schemas.microsoft.com/office/drawing/2014/main" id="{00000000-0008-0000-0100-0000D80D0000}"/>
            </a:ext>
          </a:extLst>
        </xdr:cNvPr>
        <xdr:cNvSpPr>
          <a:spLocks noChangeShapeType="1"/>
        </xdr:cNvSpPr>
      </xdr:nvSpPr>
      <xdr:spPr bwMode="auto">
        <a:xfrm flipH="1">
          <a:off x="3600450" y="1400175"/>
          <a:ext cx="29527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13</xdr:row>
      <xdr:rowOff>104773</xdr:rowOff>
    </xdr:from>
    <xdr:to>
      <xdr:col>12</xdr:col>
      <xdr:colOff>0</xdr:colOff>
      <xdr:row>13</xdr:row>
      <xdr:rowOff>104773</xdr:rowOff>
    </xdr:to>
    <xdr:sp macro="" textlink="">
      <xdr:nvSpPr>
        <xdr:cNvPr id="3545" name="Line 34">
          <a:extLst>
            <a:ext uri="{FF2B5EF4-FFF2-40B4-BE49-F238E27FC236}">
              <a16:creationId xmlns:a16="http://schemas.microsoft.com/office/drawing/2014/main" id="{00000000-0008-0000-0100-0000D90D0000}"/>
            </a:ext>
          </a:extLst>
        </xdr:cNvPr>
        <xdr:cNvSpPr>
          <a:spLocks noChangeShapeType="1"/>
        </xdr:cNvSpPr>
      </xdr:nvSpPr>
      <xdr:spPr bwMode="auto">
        <a:xfrm flipH="1">
          <a:off x="3714750" y="2366961"/>
          <a:ext cx="29765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12</xdr:col>
      <xdr:colOff>9525</xdr:colOff>
      <xdr:row>12</xdr:row>
      <xdr:rowOff>0</xdr:rowOff>
    </xdr:to>
    <xdr:sp macro="" textlink="">
      <xdr:nvSpPr>
        <xdr:cNvPr id="3546" name="Line 35">
          <a:extLst>
            <a:ext uri="{FF2B5EF4-FFF2-40B4-BE49-F238E27FC236}">
              <a16:creationId xmlns:a16="http://schemas.microsoft.com/office/drawing/2014/main" id="{00000000-0008-0000-0100-0000DA0D0000}"/>
            </a:ext>
          </a:extLst>
        </xdr:cNvPr>
        <xdr:cNvSpPr>
          <a:spLocks noChangeShapeType="1"/>
        </xdr:cNvSpPr>
      </xdr:nvSpPr>
      <xdr:spPr bwMode="auto">
        <a:xfrm flipH="1" flipV="1">
          <a:off x="3600450" y="173355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161925</xdr:colOff>
      <xdr:row>37</xdr:row>
      <xdr:rowOff>95250</xdr:rowOff>
    </xdr:from>
    <xdr:to>
      <xdr:col>16</xdr:col>
      <xdr:colOff>47625</xdr:colOff>
      <xdr:row>37</xdr:row>
      <xdr:rowOff>95250</xdr:rowOff>
    </xdr:to>
    <xdr:sp macro="" textlink="">
      <xdr:nvSpPr>
        <xdr:cNvPr id="3548" name="Line 37">
          <a:extLst>
            <a:ext uri="{FF2B5EF4-FFF2-40B4-BE49-F238E27FC236}">
              <a16:creationId xmlns:a16="http://schemas.microsoft.com/office/drawing/2014/main" id="{00000000-0008-0000-0100-0000DC0D0000}"/>
            </a:ext>
          </a:extLst>
        </xdr:cNvPr>
        <xdr:cNvSpPr>
          <a:spLocks noChangeShapeType="1"/>
        </xdr:cNvSpPr>
      </xdr:nvSpPr>
      <xdr:spPr bwMode="auto">
        <a:xfrm>
          <a:off x="3590925" y="6486525"/>
          <a:ext cx="1085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261937</xdr:colOff>
      <xdr:row>12</xdr:row>
      <xdr:rowOff>107157</xdr:rowOff>
    </xdr:from>
    <xdr:to>
      <xdr:col>5</xdr:col>
      <xdr:colOff>428626</xdr:colOff>
      <xdr:row>12</xdr:row>
      <xdr:rowOff>119066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>
          <a:endCxn id="3540" idx="1"/>
        </xdr:cNvCxnSpPr>
      </xdr:nvCxnSpPr>
      <xdr:spPr>
        <a:xfrm flipV="1">
          <a:off x="1012031" y="2202657"/>
          <a:ext cx="1595439" cy="119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583407</xdr:colOff>
      <xdr:row>9</xdr:row>
      <xdr:rowOff>-1</xdr:rowOff>
    </xdr:from>
    <xdr:to>
      <xdr:col>5</xdr:col>
      <xdr:colOff>71437</xdr:colOff>
      <xdr:row>9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CxnSpPr/>
      </xdr:nvCxnSpPr>
      <xdr:spPr>
        <a:xfrm>
          <a:off x="1333501" y="1595437"/>
          <a:ext cx="91678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7</xdr:row>
      <xdr:rowOff>35718</xdr:rowOff>
    </xdr:from>
    <xdr:to>
      <xdr:col>4</xdr:col>
      <xdr:colOff>154781</xdr:colOff>
      <xdr:row>7</xdr:row>
      <xdr:rowOff>37306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CxnSpPr/>
      </xdr:nvCxnSpPr>
      <xdr:spPr>
        <a:xfrm>
          <a:off x="1476375" y="1297781"/>
          <a:ext cx="654844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138112</xdr:colOff>
      <xdr:row>8</xdr:row>
      <xdr:rowOff>9525</xdr:rowOff>
    </xdr:from>
    <xdr:to>
      <xdr:col>11</xdr:col>
      <xdr:colOff>283368</xdr:colOff>
      <xdr:row>8</xdr:row>
      <xdr:rowOff>9525</xdr:rowOff>
    </xdr:to>
    <xdr:sp macro="" textlink="">
      <xdr:nvSpPr>
        <xdr:cNvPr id="59" name="Line 33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ShapeType="1"/>
        </xdr:cNvSpPr>
      </xdr:nvSpPr>
      <xdr:spPr bwMode="auto">
        <a:xfrm flipH="1" flipV="1">
          <a:off x="3686175" y="1438275"/>
          <a:ext cx="31194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6</xdr:row>
      <xdr:rowOff>0</xdr:rowOff>
    </xdr:from>
    <xdr:to>
      <xdr:col>12</xdr:col>
      <xdr:colOff>14287</xdr:colOff>
      <xdr:row>6</xdr:row>
      <xdr:rowOff>0</xdr:rowOff>
    </xdr:to>
    <xdr:sp macro="" textlink="">
      <xdr:nvSpPr>
        <xdr:cNvPr id="38" name="Line 33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ShapeType="1"/>
        </xdr:cNvSpPr>
      </xdr:nvSpPr>
      <xdr:spPr bwMode="auto">
        <a:xfrm flipH="1" flipV="1">
          <a:off x="3714750" y="1095375"/>
          <a:ext cx="31194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404812</xdr:colOff>
      <xdr:row>10</xdr:row>
      <xdr:rowOff>130969</xdr:rowOff>
    </xdr:from>
    <xdr:to>
      <xdr:col>5</xdr:col>
      <xdr:colOff>250031</xdr:colOff>
      <xdr:row>10</xdr:row>
      <xdr:rowOff>130971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 flipV="1">
          <a:off x="1154906" y="1893094"/>
          <a:ext cx="1273969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406400</xdr:colOff>
      <xdr:row>4</xdr:row>
      <xdr:rowOff>114300</xdr:rowOff>
    </xdr:from>
    <xdr:to>
      <xdr:col>6</xdr:col>
      <xdr:colOff>25400</xdr:colOff>
      <xdr:row>16</xdr:row>
      <xdr:rowOff>88900</xdr:rowOff>
    </xdr:to>
    <xdr:sp macro="" textlink="">
      <xdr:nvSpPr>
        <xdr:cNvPr id="2" name="Line 2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1295400" y="977900"/>
          <a:ext cx="863600" cy="1955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190500</xdr:colOff>
      <xdr:row>4</xdr:row>
      <xdr:rowOff>88900</xdr:rowOff>
    </xdr:from>
    <xdr:to>
      <xdr:col>3</xdr:col>
      <xdr:colOff>406400</xdr:colOff>
      <xdr:row>16</xdr:row>
      <xdr:rowOff>88900</xdr:rowOff>
    </xdr:to>
    <xdr:sp macro="" textlink="">
      <xdr:nvSpPr>
        <xdr:cNvPr id="3" name="Line 2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H="1">
          <a:off x="355600" y="952500"/>
          <a:ext cx="939800" cy="1981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190500</xdr:colOff>
      <xdr:row>16</xdr:row>
      <xdr:rowOff>76200</xdr:rowOff>
    </xdr:from>
    <xdr:to>
      <xdr:col>6</xdr:col>
      <xdr:colOff>31750</xdr:colOff>
      <xdr:row>16</xdr:row>
      <xdr:rowOff>76200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>
          <a:off x="355600" y="2921000"/>
          <a:ext cx="1809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215900</xdr:colOff>
      <xdr:row>14</xdr:row>
      <xdr:rowOff>12700</xdr:rowOff>
    </xdr:from>
    <xdr:to>
      <xdr:col>5</xdr:col>
      <xdr:colOff>273844</xdr:colOff>
      <xdr:row>14</xdr:row>
      <xdr:rowOff>12700</xdr:rowOff>
    </xdr:to>
    <xdr:sp macro="" textlink="">
      <xdr:nvSpPr>
        <xdr:cNvPr id="10" name="Line 3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ShapeType="1"/>
        </xdr:cNvSpPr>
      </xdr:nvSpPr>
      <xdr:spPr bwMode="auto">
        <a:xfrm flipV="1">
          <a:off x="584200" y="2527300"/>
          <a:ext cx="137874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406400</xdr:colOff>
      <xdr:row>11</xdr:row>
      <xdr:rowOff>139700</xdr:rowOff>
    </xdr:from>
    <xdr:to>
      <xdr:col>5</xdr:col>
      <xdr:colOff>83344</xdr:colOff>
      <xdr:row>11</xdr:row>
      <xdr:rowOff>139700</xdr:rowOff>
    </xdr:to>
    <xdr:sp macro="" textlink="">
      <xdr:nvSpPr>
        <xdr:cNvPr id="11" name="Line 38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ShapeType="1"/>
        </xdr:cNvSpPr>
      </xdr:nvSpPr>
      <xdr:spPr bwMode="auto">
        <a:xfrm>
          <a:off x="774700" y="2159000"/>
          <a:ext cx="99774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88900</xdr:colOff>
      <xdr:row>8</xdr:row>
      <xdr:rowOff>38100</xdr:rowOff>
    </xdr:from>
    <xdr:to>
      <xdr:col>4</xdr:col>
      <xdr:colOff>87312</xdr:colOff>
      <xdr:row>8</xdr:row>
      <xdr:rowOff>38100</xdr:rowOff>
    </xdr:to>
    <xdr:sp macro="" textlink="">
      <xdr:nvSpPr>
        <xdr:cNvPr id="12" name="Line 39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 flipV="1">
          <a:off x="977900" y="1562100"/>
          <a:ext cx="59531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12700</xdr:colOff>
      <xdr:row>10</xdr:row>
      <xdr:rowOff>12700</xdr:rowOff>
    </xdr:from>
    <xdr:to>
      <xdr:col>4</xdr:col>
      <xdr:colOff>190500</xdr:colOff>
      <xdr:row>10</xdr:row>
      <xdr:rowOff>14288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>
          <a:off x="901700" y="1866900"/>
          <a:ext cx="7747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666750</xdr:colOff>
      <xdr:row>21</xdr:row>
      <xdr:rowOff>114300</xdr:rowOff>
    </xdr:to>
    <xdr:pic>
      <xdr:nvPicPr>
        <xdr:cNvPr id="1025" name="Picture 1" descr="http://www.rfbnews.com/images/lb_LGD.png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48625" y="3600450"/>
          <a:ext cx="666750" cy="27622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27</xdr:col>
      <xdr:colOff>568325</xdr:colOff>
      <xdr:row>29</xdr:row>
      <xdr:rowOff>85725</xdr:rowOff>
    </xdr:to>
    <xdr:pic>
      <xdr:nvPicPr>
        <xdr:cNvPr id="1026" name="Picture 2" descr="http://www.rfbnews.com/images/lb_HSI_futures.png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048625" y="5143500"/>
          <a:ext cx="1266825" cy="27622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36</xdr:row>
      <xdr:rowOff>0</xdr:rowOff>
    </xdr:from>
    <xdr:to>
      <xdr:col>27</xdr:col>
      <xdr:colOff>568325</xdr:colOff>
      <xdr:row>37</xdr:row>
      <xdr:rowOff>76200</xdr:rowOff>
    </xdr:to>
    <xdr:pic>
      <xdr:nvPicPr>
        <xdr:cNvPr id="1027" name="Picture 3" descr="http://www.rfbnews.com/images/lb_SNI_futures.png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048625" y="6743700"/>
          <a:ext cx="1266825" cy="27622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27</xdr:col>
      <xdr:colOff>568325</xdr:colOff>
      <xdr:row>45</xdr:row>
      <xdr:rowOff>66675</xdr:rowOff>
    </xdr:to>
    <xdr:pic>
      <xdr:nvPicPr>
        <xdr:cNvPr id="1028" name="Picture 4" descr="http://www.rfbnews.com/images/lb_AUD-USD.png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8048625" y="8353425"/>
          <a:ext cx="1266825" cy="27622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52</xdr:row>
      <xdr:rowOff>0</xdr:rowOff>
    </xdr:from>
    <xdr:to>
      <xdr:col>27</xdr:col>
      <xdr:colOff>568325</xdr:colOff>
      <xdr:row>53</xdr:row>
      <xdr:rowOff>114300</xdr:rowOff>
    </xdr:to>
    <xdr:pic>
      <xdr:nvPicPr>
        <xdr:cNvPr id="1029" name="Picture 5" descr="http://www.rfbnews.com/images/lb_EUR-USD.png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8048625" y="9696450"/>
          <a:ext cx="1266825" cy="27622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60</xdr:row>
      <xdr:rowOff>0</xdr:rowOff>
    </xdr:from>
    <xdr:to>
      <xdr:col>27</xdr:col>
      <xdr:colOff>568325</xdr:colOff>
      <xdr:row>61</xdr:row>
      <xdr:rowOff>114300</xdr:rowOff>
    </xdr:to>
    <xdr:pic>
      <xdr:nvPicPr>
        <xdr:cNvPr id="1030" name="Picture 6" descr="http://www.rfbnews.com/images/lb_GBP-USD.png">
          <a:extLst>
            <a:ext uri="{FF2B5EF4-FFF2-40B4-BE49-F238E27FC236}">
              <a16:creationId xmlns:a16="http://schemas.microsoft.com/office/drawing/2014/main" id="{00000000-0008-0000-02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8048625" y="10991850"/>
          <a:ext cx="1266825" cy="27622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68</xdr:row>
      <xdr:rowOff>0</xdr:rowOff>
    </xdr:from>
    <xdr:to>
      <xdr:col>27</xdr:col>
      <xdr:colOff>568325</xdr:colOff>
      <xdr:row>69</xdr:row>
      <xdr:rowOff>114300</xdr:rowOff>
    </xdr:to>
    <xdr:pic>
      <xdr:nvPicPr>
        <xdr:cNvPr id="1031" name="Picture 7" descr="http://www.rfbnews.com/images/lb_USD-CHF.png">
          <a:extLst>
            <a:ext uri="{FF2B5EF4-FFF2-40B4-BE49-F238E27FC236}">
              <a16:creationId xmlns:a16="http://schemas.microsoft.com/office/drawing/2014/main" id="{00000000-0008-0000-02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8048625" y="12287250"/>
          <a:ext cx="1266825" cy="27622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76</xdr:row>
      <xdr:rowOff>0</xdr:rowOff>
    </xdr:from>
    <xdr:to>
      <xdr:col>27</xdr:col>
      <xdr:colOff>568325</xdr:colOff>
      <xdr:row>77</xdr:row>
      <xdr:rowOff>114300</xdr:rowOff>
    </xdr:to>
    <xdr:pic>
      <xdr:nvPicPr>
        <xdr:cNvPr id="1032" name="Picture 8" descr="http://www.rfbnews.com/images/lb_USD-JPY.png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8048625" y="13582650"/>
          <a:ext cx="1266825" cy="27622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55</xdr:row>
      <xdr:rowOff>104775</xdr:rowOff>
    </xdr:from>
    <xdr:to>
      <xdr:col>16</xdr:col>
      <xdr:colOff>19050</xdr:colOff>
      <xdr:row>55</xdr:row>
      <xdr:rowOff>104775</xdr:rowOff>
    </xdr:to>
    <xdr:sp macro="" textlink="">
      <xdr:nvSpPr>
        <xdr:cNvPr id="5396" name="Line 17">
          <a:extLst>
            <a:ext uri="{FF2B5EF4-FFF2-40B4-BE49-F238E27FC236}">
              <a16:creationId xmlns:a16="http://schemas.microsoft.com/office/drawing/2014/main" id="{00000000-0008-0000-0300-000014150000}"/>
            </a:ext>
          </a:extLst>
        </xdr:cNvPr>
        <xdr:cNvSpPr>
          <a:spLocks noChangeShapeType="1"/>
        </xdr:cNvSpPr>
      </xdr:nvSpPr>
      <xdr:spPr bwMode="auto">
        <a:xfrm>
          <a:off x="1943100" y="9620250"/>
          <a:ext cx="2724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142875</xdr:colOff>
      <xdr:row>35</xdr:row>
      <xdr:rowOff>114300</xdr:rowOff>
    </xdr:from>
    <xdr:to>
      <xdr:col>16</xdr:col>
      <xdr:colOff>28575</xdr:colOff>
      <xdr:row>35</xdr:row>
      <xdr:rowOff>114300</xdr:rowOff>
    </xdr:to>
    <xdr:sp macro="" textlink="">
      <xdr:nvSpPr>
        <xdr:cNvPr id="5397" name="Line 18">
          <a:extLst>
            <a:ext uri="{FF2B5EF4-FFF2-40B4-BE49-F238E27FC236}">
              <a16:creationId xmlns:a16="http://schemas.microsoft.com/office/drawing/2014/main" id="{00000000-0008-0000-0300-000015150000}"/>
            </a:ext>
          </a:extLst>
        </xdr:cNvPr>
        <xdr:cNvSpPr>
          <a:spLocks noChangeShapeType="1"/>
        </xdr:cNvSpPr>
      </xdr:nvSpPr>
      <xdr:spPr bwMode="auto">
        <a:xfrm>
          <a:off x="2209800" y="5610225"/>
          <a:ext cx="2466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9525</xdr:colOff>
      <xdr:row>46</xdr:row>
      <xdr:rowOff>114300</xdr:rowOff>
    </xdr:from>
    <xdr:to>
      <xdr:col>16</xdr:col>
      <xdr:colOff>19050</xdr:colOff>
      <xdr:row>46</xdr:row>
      <xdr:rowOff>114300</xdr:rowOff>
    </xdr:to>
    <xdr:sp macro="" textlink="">
      <xdr:nvSpPr>
        <xdr:cNvPr id="5398" name="Line 19">
          <a:extLst>
            <a:ext uri="{FF2B5EF4-FFF2-40B4-BE49-F238E27FC236}">
              <a16:creationId xmlns:a16="http://schemas.microsoft.com/office/drawing/2014/main" id="{00000000-0008-0000-0300-000016150000}"/>
            </a:ext>
          </a:extLst>
        </xdr:cNvPr>
        <xdr:cNvSpPr>
          <a:spLocks noChangeShapeType="1"/>
        </xdr:cNvSpPr>
      </xdr:nvSpPr>
      <xdr:spPr bwMode="auto">
        <a:xfrm>
          <a:off x="2076450" y="7810500"/>
          <a:ext cx="2590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12</xdr:col>
      <xdr:colOff>9525</xdr:colOff>
      <xdr:row>3</xdr:row>
      <xdr:rowOff>85725</xdr:rowOff>
    </xdr:from>
    <xdr:to>
      <xdr:col>12</xdr:col>
      <xdr:colOff>9525</xdr:colOff>
      <xdr:row>22</xdr:row>
      <xdr:rowOff>9525</xdr:rowOff>
    </xdr:to>
    <xdr:sp macro="" textlink="">
      <xdr:nvSpPr>
        <xdr:cNvPr id="5399" name="Line 20">
          <a:extLst>
            <a:ext uri="{FF2B5EF4-FFF2-40B4-BE49-F238E27FC236}">
              <a16:creationId xmlns:a16="http://schemas.microsoft.com/office/drawing/2014/main" id="{00000000-0008-0000-0300-000017150000}"/>
            </a:ext>
          </a:extLst>
        </xdr:cNvPr>
        <xdr:cNvSpPr>
          <a:spLocks noChangeShapeType="1"/>
        </xdr:cNvSpPr>
      </xdr:nvSpPr>
      <xdr:spPr bwMode="auto">
        <a:xfrm>
          <a:off x="3924300" y="685800"/>
          <a:ext cx="0" cy="2276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3</xdr:col>
      <xdr:colOff>409575</xdr:colOff>
      <xdr:row>21</xdr:row>
      <xdr:rowOff>0</xdr:rowOff>
    </xdr:to>
    <xdr:sp macro="" textlink="">
      <xdr:nvSpPr>
        <xdr:cNvPr id="5400" name="Line 21">
          <a:extLst>
            <a:ext uri="{FF2B5EF4-FFF2-40B4-BE49-F238E27FC236}">
              <a16:creationId xmlns:a16="http://schemas.microsoft.com/office/drawing/2014/main" id="{00000000-0008-0000-0300-000018150000}"/>
            </a:ext>
          </a:extLst>
        </xdr:cNvPr>
        <xdr:cNvSpPr>
          <a:spLocks noChangeShapeType="1"/>
        </xdr:cNvSpPr>
      </xdr:nvSpPr>
      <xdr:spPr bwMode="auto">
        <a:xfrm flipV="1">
          <a:off x="542925" y="762000"/>
          <a:ext cx="1133475" cy="2028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409575</xdr:colOff>
      <xdr:row>4</xdr:row>
      <xdr:rowOff>9525</xdr:rowOff>
    </xdr:from>
    <xdr:to>
      <xdr:col>6</xdr:col>
      <xdr:colOff>123825</xdr:colOff>
      <xdr:row>21</xdr:row>
      <xdr:rowOff>0</xdr:rowOff>
    </xdr:to>
    <xdr:sp macro="" textlink="">
      <xdr:nvSpPr>
        <xdr:cNvPr id="5401" name="Line 22">
          <a:extLst>
            <a:ext uri="{FF2B5EF4-FFF2-40B4-BE49-F238E27FC236}">
              <a16:creationId xmlns:a16="http://schemas.microsoft.com/office/drawing/2014/main" id="{00000000-0008-0000-0300-000019150000}"/>
            </a:ext>
          </a:extLst>
        </xdr:cNvPr>
        <xdr:cNvSpPr>
          <a:spLocks noChangeShapeType="1"/>
        </xdr:cNvSpPr>
      </xdr:nvSpPr>
      <xdr:spPr bwMode="auto">
        <a:xfrm>
          <a:off x="1676400" y="771525"/>
          <a:ext cx="1019175" cy="2019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9525</xdr:colOff>
      <xdr:row>3</xdr:row>
      <xdr:rowOff>85725</xdr:rowOff>
    </xdr:from>
    <xdr:to>
      <xdr:col>12</xdr:col>
      <xdr:colOff>9525</xdr:colOff>
      <xdr:row>3</xdr:row>
      <xdr:rowOff>95250</xdr:rowOff>
    </xdr:to>
    <xdr:sp macro="" textlink="">
      <xdr:nvSpPr>
        <xdr:cNvPr id="5402" name="Line 26">
          <a:extLst>
            <a:ext uri="{FF2B5EF4-FFF2-40B4-BE49-F238E27FC236}">
              <a16:creationId xmlns:a16="http://schemas.microsoft.com/office/drawing/2014/main" id="{00000000-0008-0000-0300-00001A150000}"/>
            </a:ext>
          </a:extLst>
        </xdr:cNvPr>
        <xdr:cNvSpPr>
          <a:spLocks noChangeShapeType="1"/>
        </xdr:cNvSpPr>
      </xdr:nvSpPr>
      <xdr:spPr bwMode="auto">
        <a:xfrm flipH="1">
          <a:off x="3629025" y="685800"/>
          <a:ext cx="29527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22</xdr:row>
      <xdr:rowOff>9525</xdr:rowOff>
    </xdr:from>
    <xdr:to>
      <xdr:col>12</xdr:col>
      <xdr:colOff>0</xdr:colOff>
      <xdr:row>22</xdr:row>
      <xdr:rowOff>9525</xdr:rowOff>
    </xdr:to>
    <xdr:sp macro="" textlink="">
      <xdr:nvSpPr>
        <xdr:cNvPr id="5403" name="Line 29">
          <a:extLst>
            <a:ext uri="{FF2B5EF4-FFF2-40B4-BE49-F238E27FC236}">
              <a16:creationId xmlns:a16="http://schemas.microsoft.com/office/drawing/2014/main" id="{00000000-0008-0000-0300-00001B150000}"/>
            </a:ext>
          </a:extLst>
        </xdr:cNvPr>
        <xdr:cNvSpPr>
          <a:spLocks noChangeShapeType="1"/>
        </xdr:cNvSpPr>
      </xdr:nvSpPr>
      <xdr:spPr bwMode="auto">
        <a:xfrm flipH="1">
          <a:off x="3619500" y="296227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161925</xdr:colOff>
      <xdr:row>9</xdr:row>
      <xdr:rowOff>95250</xdr:rowOff>
    </xdr:from>
    <xdr:to>
      <xdr:col>11</xdr:col>
      <xdr:colOff>285750</xdr:colOff>
      <xdr:row>9</xdr:row>
      <xdr:rowOff>95250</xdr:rowOff>
    </xdr:to>
    <xdr:sp macro="" textlink="">
      <xdr:nvSpPr>
        <xdr:cNvPr id="5404" name="Line 30">
          <a:extLst>
            <a:ext uri="{FF2B5EF4-FFF2-40B4-BE49-F238E27FC236}">
              <a16:creationId xmlns:a16="http://schemas.microsoft.com/office/drawing/2014/main" id="{00000000-0008-0000-0300-00001C150000}"/>
            </a:ext>
          </a:extLst>
        </xdr:cNvPr>
        <xdr:cNvSpPr>
          <a:spLocks noChangeShapeType="1"/>
        </xdr:cNvSpPr>
      </xdr:nvSpPr>
      <xdr:spPr bwMode="auto">
        <a:xfrm flipH="1" flipV="1">
          <a:off x="3609975" y="149542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409575</xdr:colOff>
      <xdr:row>53</xdr:row>
      <xdr:rowOff>123825</xdr:rowOff>
    </xdr:from>
    <xdr:to>
      <xdr:col>16</xdr:col>
      <xdr:colOff>38100</xdr:colOff>
      <xdr:row>53</xdr:row>
      <xdr:rowOff>123825</xdr:rowOff>
    </xdr:to>
    <xdr:sp macro="" textlink="">
      <xdr:nvSpPr>
        <xdr:cNvPr id="5405" name="Line 31">
          <a:extLst>
            <a:ext uri="{FF2B5EF4-FFF2-40B4-BE49-F238E27FC236}">
              <a16:creationId xmlns:a16="http://schemas.microsoft.com/office/drawing/2014/main" id="{00000000-0008-0000-0300-00001D150000}"/>
            </a:ext>
          </a:extLst>
        </xdr:cNvPr>
        <xdr:cNvSpPr>
          <a:spLocks noChangeShapeType="1"/>
        </xdr:cNvSpPr>
      </xdr:nvSpPr>
      <xdr:spPr bwMode="auto">
        <a:xfrm>
          <a:off x="1676400" y="9229725"/>
          <a:ext cx="3009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19050</xdr:colOff>
      <xdr:row>20</xdr:row>
      <xdr:rowOff>47625</xdr:rowOff>
    </xdr:from>
    <xdr:to>
      <xdr:col>12</xdr:col>
      <xdr:colOff>0</xdr:colOff>
      <xdr:row>20</xdr:row>
      <xdr:rowOff>47625</xdr:rowOff>
    </xdr:to>
    <xdr:sp macro="" textlink="">
      <xdr:nvSpPr>
        <xdr:cNvPr id="5406" name="Line 36">
          <a:extLst>
            <a:ext uri="{FF2B5EF4-FFF2-40B4-BE49-F238E27FC236}">
              <a16:creationId xmlns:a16="http://schemas.microsoft.com/office/drawing/2014/main" id="{00000000-0008-0000-0300-00001E150000}"/>
            </a:ext>
          </a:extLst>
        </xdr:cNvPr>
        <xdr:cNvSpPr>
          <a:spLocks noChangeShapeType="1"/>
        </xdr:cNvSpPr>
      </xdr:nvSpPr>
      <xdr:spPr bwMode="auto">
        <a:xfrm flipH="1" flipV="1">
          <a:off x="3638550" y="26765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9525</xdr:colOff>
      <xdr:row>5</xdr:row>
      <xdr:rowOff>114300</xdr:rowOff>
    </xdr:from>
    <xdr:to>
      <xdr:col>11</xdr:col>
      <xdr:colOff>285750</xdr:colOff>
      <xdr:row>5</xdr:row>
      <xdr:rowOff>114300</xdr:rowOff>
    </xdr:to>
    <xdr:sp macro="" textlink="">
      <xdr:nvSpPr>
        <xdr:cNvPr id="5407" name="Line 30">
          <a:extLst>
            <a:ext uri="{FF2B5EF4-FFF2-40B4-BE49-F238E27FC236}">
              <a16:creationId xmlns:a16="http://schemas.microsoft.com/office/drawing/2014/main" id="{00000000-0008-0000-0300-00001F150000}"/>
            </a:ext>
          </a:extLst>
        </xdr:cNvPr>
        <xdr:cNvSpPr>
          <a:spLocks noChangeShapeType="1"/>
        </xdr:cNvSpPr>
      </xdr:nvSpPr>
      <xdr:spPr bwMode="auto">
        <a:xfrm flipH="1" flipV="1">
          <a:off x="3629025" y="10382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161925</xdr:colOff>
      <xdr:row>12</xdr:row>
      <xdr:rowOff>47625</xdr:rowOff>
    </xdr:from>
    <xdr:to>
      <xdr:col>12</xdr:col>
      <xdr:colOff>0</xdr:colOff>
      <xdr:row>12</xdr:row>
      <xdr:rowOff>47625</xdr:rowOff>
    </xdr:to>
    <xdr:sp macro="" textlink="">
      <xdr:nvSpPr>
        <xdr:cNvPr id="5408" name="Line 30">
          <a:extLst>
            <a:ext uri="{FF2B5EF4-FFF2-40B4-BE49-F238E27FC236}">
              <a16:creationId xmlns:a16="http://schemas.microsoft.com/office/drawing/2014/main" id="{00000000-0008-0000-0300-000020150000}"/>
            </a:ext>
          </a:extLst>
        </xdr:cNvPr>
        <xdr:cNvSpPr>
          <a:spLocks noChangeShapeType="1"/>
        </xdr:cNvSpPr>
      </xdr:nvSpPr>
      <xdr:spPr bwMode="auto">
        <a:xfrm flipH="1" flipV="1">
          <a:off x="3609975" y="173355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161925</xdr:colOff>
      <xdr:row>7</xdr:row>
      <xdr:rowOff>104775</xdr:rowOff>
    </xdr:from>
    <xdr:to>
      <xdr:col>11</xdr:col>
      <xdr:colOff>276225</xdr:colOff>
      <xdr:row>7</xdr:row>
      <xdr:rowOff>104775</xdr:rowOff>
    </xdr:to>
    <xdr:sp macro="" textlink="">
      <xdr:nvSpPr>
        <xdr:cNvPr id="5409" name="Line 30">
          <a:extLst>
            <a:ext uri="{FF2B5EF4-FFF2-40B4-BE49-F238E27FC236}">
              <a16:creationId xmlns:a16="http://schemas.microsoft.com/office/drawing/2014/main" id="{00000000-0008-0000-0300-000021150000}"/>
            </a:ext>
          </a:extLst>
        </xdr:cNvPr>
        <xdr:cNvSpPr>
          <a:spLocks noChangeShapeType="1"/>
        </xdr:cNvSpPr>
      </xdr:nvSpPr>
      <xdr:spPr bwMode="auto">
        <a:xfrm flipH="1" flipV="1">
          <a:off x="3609975" y="126682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9525</xdr:colOff>
      <xdr:row>14</xdr:row>
      <xdr:rowOff>47625</xdr:rowOff>
    </xdr:from>
    <xdr:to>
      <xdr:col>11</xdr:col>
      <xdr:colOff>295275</xdr:colOff>
      <xdr:row>14</xdr:row>
      <xdr:rowOff>47625</xdr:rowOff>
    </xdr:to>
    <xdr:sp macro="" textlink="">
      <xdr:nvSpPr>
        <xdr:cNvPr id="5410" name="Line 30">
          <a:extLst>
            <a:ext uri="{FF2B5EF4-FFF2-40B4-BE49-F238E27FC236}">
              <a16:creationId xmlns:a16="http://schemas.microsoft.com/office/drawing/2014/main" id="{00000000-0008-0000-0300-000022150000}"/>
            </a:ext>
          </a:extLst>
        </xdr:cNvPr>
        <xdr:cNvSpPr>
          <a:spLocks noChangeShapeType="1"/>
        </xdr:cNvSpPr>
      </xdr:nvSpPr>
      <xdr:spPr bwMode="auto">
        <a:xfrm flipH="1" flipV="1">
          <a:off x="3629025" y="199072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19050</xdr:colOff>
      <xdr:row>16</xdr:row>
      <xdr:rowOff>57150</xdr:rowOff>
    </xdr:from>
    <xdr:to>
      <xdr:col>12</xdr:col>
      <xdr:colOff>9525</xdr:colOff>
      <xdr:row>16</xdr:row>
      <xdr:rowOff>57150</xdr:rowOff>
    </xdr:to>
    <xdr:sp macro="" textlink="">
      <xdr:nvSpPr>
        <xdr:cNvPr id="5411" name="Line 30">
          <a:extLst>
            <a:ext uri="{FF2B5EF4-FFF2-40B4-BE49-F238E27FC236}">
              <a16:creationId xmlns:a16="http://schemas.microsoft.com/office/drawing/2014/main" id="{00000000-0008-0000-0300-000023150000}"/>
            </a:ext>
          </a:extLst>
        </xdr:cNvPr>
        <xdr:cNvSpPr>
          <a:spLocks noChangeShapeType="1"/>
        </xdr:cNvSpPr>
      </xdr:nvSpPr>
      <xdr:spPr bwMode="auto">
        <a:xfrm flipH="1" flipV="1">
          <a:off x="3638550" y="223837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18</xdr:row>
      <xdr:rowOff>9525</xdr:rowOff>
    </xdr:from>
    <xdr:to>
      <xdr:col>11</xdr:col>
      <xdr:colOff>285750</xdr:colOff>
      <xdr:row>18</xdr:row>
      <xdr:rowOff>9525</xdr:rowOff>
    </xdr:to>
    <xdr:sp macro="" textlink="">
      <xdr:nvSpPr>
        <xdr:cNvPr id="5412" name="Line 30">
          <a:extLst>
            <a:ext uri="{FF2B5EF4-FFF2-40B4-BE49-F238E27FC236}">
              <a16:creationId xmlns:a16="http://schemas.microsoft.com/office/drawing/2014/main" id="{00000000-0008-0000-0300-000024150000}"/>
            </a:ext>
          </a:extLst>
        </xdr:cNvPr>
        <xdr:cNvSpPr>
          <a:spLocks noChangeShapeType="1"/>
        </xdr:cNvSpPr>
      </xdr:nvSpPr>
      <xdr:spPr bwMode="auto">
        <a:xfrm flipH="1" flipV="1">
          <a:off x="3619500" y="243840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178594</xdr:colOff>
      <xdr:row>7</xdr:row>
      <xdr:rowOff>0</xdr:rowOff>
    </xdr:from>
    <xdr:to>
      <xdr:col>4</xdr:col>
      <xdr:colOff>0</xdr:colOff>
      <xdr:row>7</xdr:row>
      <xdr:rowOff>1588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CxnSpPr/>
      </xdr:nvCxnSpPr>
      <xdr:spPr>
        <a:xfrm>
          <a:off x="1452563" y="1166813"/>
          <a:ext cx="416718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</xdr:row>
      <xdr:rowOff>0</xdr:rowOff>
    </xdr:from>
    <xdr:to>
      <xdr:col>4</xdr:col>
      <xdr:colOff>130969</xdr:colOff>
      <xdr:row>9</xdr:row>
      <xdr:rowOff>1588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CxnSpPr/>
      </xdr:nvCxnSpPr>
      <xdr:spPr>
        <a:xfrm>
          <a:off x="1333500" y="1404938"/>
          <a:ext cx="66675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452437</xdr:colOff>
      <xdr:row>11</xdr:row>
      <xdr:rowOff>0</xdr:rowOff>
    </xdr:from>
    <xdr:to>
      <xdr:col>5</xdr:col>
      <xdr:colOff>35718</xdr:colOff>
      <xdr:row>11</xdr:row>
      <xdr:rowOff>1588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/>
      </xdr:nvCxnSpPr>
      <xdr:spPr>
        <a:xfrm>
          <a:off x="1202531" y="1643063"/>
          <a:ext cx="9048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309562</xdr:colOff>
      <xdr:row>13</xdr:row>
      <xdr:rowOff>11907</xdr:rowOff>
    </xdr:from>
    <xdr:to>
      <xdr:col>5</xdr:col>
      <xdr:colOff>142875</xdr:colOff>
      <xdr:row>13</xdr:row>
      <xdr:rowOff>11908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/>
      </xdr:nvCxnSpPr>
      <xdr:spPr>
        <a:xfrm flipV="1">
          <a:off x="1059656" y="1881188"/>
          <a:ext cx="1154907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166687</xdr:colOff>
      <xdr:row>15</xdr:row>
      <xdr:rowOff>0</xdr:rowOff>
    </xdr:from>
    <xdr:to>
      <xdr:col>5</xdr:col>
      <xdr:colOff>273843</xdr:colOff>
      <xdr:row>15</xdr:row>
      <xdr:rowOff>1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CxnSpPr/>
      </xdr:nvCxnSpPr>
      <xdr:spPr>
        <a:xfrm flipV="1">
          <a:off x="916781" y="2119313"/>
          <a:ext cx="1428750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59531</xdr:colOff>
      <xdr:row>17</xdr:row>
      <xdr:rowOff>0</xdr:rowOff>
    </xdr:from>
    <xdr:to>
      <xdr:col>5</xdr:col>
      <xdr:colOff>381000</xdr:colOff>
      <xdr:row>17</xdr:row>
      <xdr:rowOff>1588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CxnSpPr/>
      </xdr:nvCxnSpPr>
      <xdr:spPr>
        <a:xfrm>
          <a:off x="809625" y="2357438"/>
          <a:ext cx="1643063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</xdr:colOff>
      <xdr:row>19</xdr:row>
      <xdr:rowOff>0</xdr:rowOff>
    </xdr:from>
    <xdr:to>
      <xdr:col>5</xdr:col>
      <xdr:colOff>476250</xdr:colOff>
      <xdr:row>19</xdr:row>
      <xdr:rowOff>1588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CxnSpPr/>
      </xdr:nvCxnSpPr>
      <xdr:spPr>
        <a:xfrm>
          <a:off x="690563" y="2559844"/>
          <a:ext cx="18573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142875</xdr:colOff>
      <xdr:row>51</xdr:row>
      <xdr:rowOff>119062</xdr:rowOff>
    </xdr:from>
    <xdr:to>
      <xdr:col>16</xdr:col>
      <xdr:colOff>0</xdr:colOff>
      <xdr:row>51</xdr:row>
      <xdr:rowOff>120650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CxnSpPr/>
      </xdr:nvCxnSpPr>
      <xdr:spPr>
        <a:xfrm>
          <a:off x="3762375" y="8917781"/>
          <a:ext cx="892969" cy="1588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4</xdr:row>
      <xdr:rowOff>133350</xdr:rowOff>
    </xdr:from>
    <xdr:to>
      <xdr:col>6</xdr:col>
      <xdr:colOff>14007</xdr:colOff>
      <xdr:row>11</xdr:row>
      <xdr:rowOff>104775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 flipV="1">
          <a:off x="704850" y="895350"/>
          <a:ext cx="1680882" cy="1295400"/>
        </a:xfrm>
        <a:prstGeom prst="triangl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as</a:t>
          </a:r>
        </a:p>
      </xdr:txBody>
    </xdr:sp>
    <xdr:clientData/>
  </xdr:twoCellAnchor>
  <xdr:twoCellAnchor>
    <xdr:from>
      <xdr:col>2</xdr:col>
      <xdr:colOff>304800</xdr:colOff>
      <xdr:row>6</xdr:row>
      <xdr:rowOff>66675</xdr:rowOff>
    </xdr:from>
    <xdr:to>
      <xdr:col>5</xdr:col>
      <xdr:colOff>238125</xdr:colOff>
      <xdr:row>6</xdr:row>
      <xdr:rowOff>85725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 flipV="1">
          <a:off x="1009650" y="1257300"/>
          <a:ext cx="127635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8</xdr:row>
      <xdr:rowOff>153988</xdr:rowOff>
    </xdr:from>
    <xdr:to>
      <xdr:col>4</xdr:col>
      <xdr:colOff>152400</xdr:colOff>
      <xdr:row>9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/>
      </xdr:nvCxnSpPr>
      <xdr:spPr>
        <a:xfrm flipV="1">
          <a:off x="1304925" y="1668463"/>
          <a:ext cx="685800" cy="79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40</xdr:row>
      <xdr:rowOff>104775</xdr:rowOff>
    </xdr:from>
    <xdr:to>
      <xdr:col>16</xdr:col>
      <xdr:colOff>19050</xdr:colOff>
      <xdr:row>40</xdr:row>
      <xdr:rowOff>104775</xdr:rowOff>
    </xdr:to>
    <xdr:sp macro="" textlink="">
      <xdr:nvSpPr>
        <xdr:cNvPr id="1234" name="Line 1">
          <a:extLst>
            <a:ext uri="{FF2B5EF4-FFF2-40B4-BE49-F238E27FC236}">
              <a16:creationId xmlns:a16="http://schemas.microsoft.com/office/drawing/2014/main" id="{00000000-0008-0000-0500-0000D2040000}"/>
            </a:ext>
          </a:extLst>
        </xdr:cNvPr>
        <xdr:cNvSpPr>
          <a:spLocks noChangeShapeType="1"/>
        </xdr:cNvSpPr>
      </xdr:nvSpPr>
      <xdr:spPr bwMode="auto">
        <a:xfrm>
          <a:off x="1924050" y="7677150"/>
          <a:ext cx="2790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142875</xdr:colOff>
      <xdr:row>24</xdr:row>
      <xdr:rowOff>114300</xdr:rowOff>
    </xdr:from>
    <xdr:to>
      <xdr:col>16</xdr:col>
      <xdr:colOff>28575</xdr:colOff>
      <xdr:row>24</xdr:row>
      <xdr:rowOff>114300</xdr:rowOff>
    </xdr:to>
    <xdr:sp macro="" textlink="">
      <xdr:nvSpPr>
        <xdr:cNvPr id="1235" name="Line 2">
          <a:extLst>
            <a:ext uri="{FF2B5EF4-FFF2-40B4-BE49-F238E27FC236}">
              <a16:creationId xmlns:a16="http://schemas.microsoft.com/office/drawing/2014/main" id="{00000000-0008-0000-0500-0000D3040000}"/>
            </a:ext>
          </a:extLst>
        </xdr:cNvPr>
        <xdr:cNvSpPr>
          <a:spLocks noChangeShapeType="1"/>
        </xdr:cNvSpPr>
      </xdr:nvSpPr>
      <xdr:spPr bwMode="auto">
        <a:xfrm>
          <a:off x="2028825" y="4467225"/>
          <a:ext cx="2695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9525</xdr:colOff>
      <xdr:row>31</xdr:row>
      <xdr:rowOff>114300</xdr:rowOff>
    </xdr:from>
    <xdr:to>
      <xdr:col>16</xdr:col>
      <xdr:colOff>19050</xdr:colOff>
      <xdr:row>31</xdr:row>
      <xdr:rowOff>114300</xdr:rowOff>
    </xdr:to>
    <xdr:sp macro="" textlink="">
      <xdr:nvSpPr>
        <xdr:cNvPr id="1236" name="Line 3">
          <a:extLst>
            <a:ext uri="{FF2B5EF4-FFF2-40B4-BE49-F238E27FC236}">
              <a16:creationId xmlns:a16="http://schemas.microsoft.com/office/drawing/2014/main" id="{00000000-0008-0000-0500-0000D4040000}"/>
            </a:ext>
          </a:extLst>
        </xdr:cNvPr>
        <xdr:cNvSpPr>
          <a:spLocks noChangeShapeType="1"/>
        </xdr:cNvSpPr>
      </xdr:nvSpPr>
      <xdr:spPr bwMode="auto">
        <a:xfrm>
          <a:off x="1895475" y="5867400"/>
          <a:ext cx="2819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12</xdr:col>
      <xdr:colOff>9525</xdr:colOff>
      <xdr:row>3</xdr:row>
      <xdr:rowOff>85725</xdr:rowOff>
    </xdr:from>
    <xdr:to>
      <xdr:col>12</xdr:col>
      <xdr:colOff>9525</xdr:colOff>
      <xdr:row>13</xdr:row>
      <xdr:rowOff>76200</xdr:rowOff>
    </xdr:to>
    <xdr:sp macro="" textlink="">
      <xdr:nvSpPr>
        <xdr:cNvPr id="1237" name="Line 4">
          <a:extLst>
            <a:ext uri="{FF2B5EF4-FFF2-40B4-BE49-F238E27FC236}">
              <a16:creationId xmlns:a16="http://schemas.microsoft.com/office/drawing/2014/main" id="{00000000-0008-0000-0500-0000D5040000}"/>
            </a:ext>
          </a:extLst>
        </xdr:cNvPr>
        <xdr:cNvSpPr>
          <a:spLocks noChangeShapeType="1"/>
        </xdr:cNvSpPr>
      </xdr:nvSpPr>
      <xdr:spPr bwMode="auto">
        <a:xfrm>
          <a:off x="3829050" y="685800"/>
          <a:ext cx="0" cy="1676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4</xdr:row>
      <xdr:rowOff>9525</xdr:rowOff>
    </xdr:from>
    <xdr:to>
      <xdr:col>3</xdr:col>
      <xdr:colOff>409575</xdr:colOff>
      <xdr:row>14</xdr:row>
      <xdr:rowOff>28575</xdr:rowOff>
    </xdr:to>
    <xdr:sp macro="" textlink="">
      <xdr:nvSpPr>
        <xdr:cNvPr id="1238" name="Line 5">
          <a:extLst>
            <a:ext uri="{FF2B5EF4-FFF2-40B4-BE49-F238E27FC236}">
              <a16:creationId xmlns:a16="http://schemas.microsoft.com/office/drawing/2014/main" id="{00000000-0008-0000-0500-0000D6040000}"/>
            </a:ext>
          </a:extLst>
        </xdr:cNvPr>
        <xdr:cNvSpPr>
          <a:spLocks noChangeShapeType="1"/>
        </xdr:cNvSpPr>
      </xdr:nvSpPr>
      <xdr:spPr bwMode="auto">
        <a:xfrm flipH="1" flipV="1">
          <a:off x="495300" y="838200"/>
          <a:ext cx="1000125" cy="1638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409575</xdr:colOff>
      <xdr:row>4</xdr:row>
      <xdr:rowOff>0</xdr:rowOff>
    </xdr:from>
    <xdr:to>
      <xdr:col>7</xdr:col>
      <xdr:colOff>47625</xdr:colOff>
      <xdr:row>14</xdr:row>
      <xdr:rowOff>9525</xdr:rowOff>
    </xdr:to>
    <xdr:sp macro="" textlink="">
      <xdr:nvSpPr>
        <xdr:cNvPr id="1239" name="Line 6">
          <a:extLst>
            <a:ext uri="{FF2B5EF4-FFF2-40B4-BE49-F238E27FC236}">
              <a16:creationId xmlns:a16="http://schemas.microsoft.com/office/drawing/2014/main" id="{00000000-0008-0000-0500-0000D7040000}"/>
            </a:ext>
          </a:extLst>
        </xdr:cNvPr>
        <xdr:cNvSpPr>
          <a:spLocks noChangeShapeType="1"/>
        </xdr:cNvSpPr>
      </xdr:nvSpPr>
      <xdr:spPr bwMode="auto">
        <a:xfrm flipH="1">
          <a:off x="1495425" y="828675"/>
          <a:ext cx="1085850" cy="1628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38100</xdr:colOff>
      <xdr:row>4</xdr:row>
      <xdr:rowOff>0</xdr:rowOff>
    </xdr:from>
    <xdr:to>
      <xdr:col>7</xdr:col>
      <xdr:colOff>28575</xdr:colOff>
      <xdr:row>4</xdr:row>
      <xdr:rowOff>0</xdr:rowOff>
    </xdr:to>
    <xdr:sp macro="" textlink="">
      <xdr:nvSpPr>
        <xdr:cNvPr id="1240" name="Line 7">
          <a:extLst>
            <a:ext uri="{FF2B5EF4-FFF2-40B4-BE49-F238E27FC236}">
              <a16:creationId xmlns:a16="http://schemas.microsoft.com/office/drawing/2014/main" id="{00000000-0008-0000-0500-0000D8040000}"/>
            </a:ext>
          </a:extLst>
        </xdr:cNvPr>
        <xdr:cNvSpPr>
          <a:spLocks noChangeShapeType="1"/>
        </xdr:cNvSpPr>
      </xdr:nvSpPr>
      <xdr:spPr bwMode="auto">
        <a:xfrm>
          <a:off x="457200" y="828675"/>
          <a:ext cx="2105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6</xdr:row>
      <xdr:rowOff>0</xdr:rowOff>
    </xdr:from>
    <xdr:to>
      <xdr:col>5</xdr:col>
      <xdr:colOff>447675</xdr:colOff>
      <xdr:row>6</xdr:row>
      <xdr:rowOff>0</xdr:rowOff>
    </xdr:to>
    <xdr:sp macro="" textlink="">
      <xdr:nvSpPr>
        <xdr:cNvPr id="1241" name="Line 8">
          <a:extLst>
            <a:ext uri="{FF2B5EF4-FFF2-40B4-BE49-F238E27FC236}">
              <a16:creationId xmlns:a16="http://schemas.microsoft.com/office/drawing/2014/main" id="{00000000-0008-0000-0500-0000D9040000}"/>
            </a:ext>
          </a:extLst>
        </xdr:cNvPr>
        <xdr:cNvSpPr>
          <a:spLocks noChangeShapeType="1"/>
        </xdr:cNvSpPr>
      </xdr:nvSpPr>
      <xdr:spPr bwMode="auto">
        <a:xfrm>
          <a:off x="666750" y="1152525"/>
          <a:ext cx="1666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9525</xdr:colOff>
      <xdr:row>3</xdr:row>
      <xdr:rowOff>85725</xdr:rowOff>
    </xdr:from>
    <xdr:to>
      <xdr:col>12</xdr:col>
      <xdr:colOff>9525</xdr:colOff>
      <xdr:row>3</xdr:row>
      <xdr:rowOff>95250</xdr:rowOff>
    </xdr:to>
    <xdr:sp macro="" textlink="">
      <xdr:nvSpPr>
        <xdr:cNvPr id="1242" name="Line 9">
          <a:extLst>
            <a:ext uri="{FF2B5EF4-FFF2-40B4-BE49-F238E27FC236}">
              <a16:creationId xmlns:a16="http://schemas.microsoft.com/office/drawing/2014/main" id="{00000000-0008-0000-0500-0000DA040000}"/>
            </a:ext>
          </a:extLst>
        </xdr:cNvPr>
        <xdr:cNvSpPr>
          <a:spLocks noChangeShapeType="1"/>
        </xdr:cNvSpPr>
      </xdr:nvSpPr>
      <xdr:spPr bwMode="auto">
        <a:xfrm flipH="1">
          <a:off x="3562350" y="685800"/>
          <a:ext cx="2667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5</xdr:row>
      <xdr:rowOff>0</xdr:rowOff>
    </xdr:from>
    <xdr:to>
      <xdr:col>12</xdr:col>
      <xdr:colOff>0</xdr:colOff>
      <xdr:row>5</xdr:row>
      <xdr:rowOff>9525</xdr:rowOff>
    </xdr:to>
    <xdr:sp macro="" textlink="">
      <xdr:nvSpPr>
        <xdr:cNvPr id="1243" name="Line 10">
          <a:extLst>
            <a:ext uri="{FF2B5EF4-FFF2-40B4-BE49-F238E27FC236}">
              <a16:creationId xmlns:a16="http://schemas.microsoft.com/office/drawing/2014/main" id="{00000000-0008-0000-0500-0000DB040000}"/>
            </a:ext>
          </a:extLst>
        </xdr:cNvPr>
        <xdr:cNvSpPr>
          <a:spLocks noChangeShapeType="1"/>
        </xdr:cNvSpPr>
      </xdr:nvSpPr>
      <xdr:spPr bwMode="auto">
        <a:xfrm flipH="1">
          <a:off x="3687536" y="1006929"/>
          <a:ext cx="367393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13</xdr:row>
      <xdr:rowOff>85725</xdr:rowOff>
    </xdr:from>
    <xdr:to>
      <xdr:col>12</xdr:col>
      <xdr:colOff>0</xdr:colOff>
      <xdr:row>13</xdr:row>
      <xdr:rowOff>85725</xdr:rowOff>
    </xdr:to>
    <xdr:sp macro="" textlink="">
      <xdr:nvSpPr>
        <xdr:cNvPr id="1244" name="Line 11">
          <a:extLst>
            <a:ext uri="{FF2B5EF4-FFF2-40B4-BE49-F238E27FC236}">
              <a16:creationId xmlns:a16="http://schemas.microsoft.com/office/drawing/2014/main" id="{00000000-0008-0000-0500-0000DC040000}"/>
            </a:ext>
          </a:extLst>
        </xdr:cNvPr>
        <xdr:cNvSpPr>
          <a:spLocks noChangeShapeType="1"/>
        </xdr:cNvSpPr>
      </xdr:nvSpPr>
      <xdr:spPr bwMode="auto">
        <a:xfrm flipH="1">
          <a:off x="3552825" y="237172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409575</xdr:colOff>
      <xdr:row>38</xdr:row>
      <xdr:rowOff>123825</xdr:rowOff>
    </xdr:from>
    <xdr:to>
      <xdr:col>16</xdr:col>
      <xdr:colOff>38100</xdr:colOff>
      <xdr:row>38</xdr:row>
      <xdr:rowOff>123825</xdr:rowOff>
    </xdr:to>
    <xdr:sp macro="" textlink="">
      <xdr:nvSpPr>
        <xdr:cNvPr id="1246" name="Line 13">
          <a:extLst>
            <a:ext uri="{FF2B5EF4-FFF2-40B4-BE49-F238E27FC236}">
              <a16:creationId xmlns:a16="http://schemas.microsoft.com/office/drawing/2014/main" id="{00000000-0008-0000-0500-0000DE040000}"/>
            </a:ext>
          </a:extLst>
        </xdr:cNvPr>
        <xdr:cNvSpPr>
          <a:spLocks noChangeShapeType="1"/>
        </xdr:cNvSpPr>
      </xdr:nvSpPr>
      <xdr:spPr bwMode="auto">
        <a:xfrm>
          <a:off x="1495425" y="7286625"/>
          <a:ext cx="3238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161925</xdr:colOff>
      <xdr:row>36</xdr:row>
      <xdr:rowOff>104775</xdr:rowOff>
    </xdr:from>
    <xdr:to>
      <xdr:col>16</xdr:col>
      <xdr:colOff>47625</xdr:colOff>
      <xdr:row>36</xdr:row>
      <xdr:rowOff>104775</xdr:rowOff>
    </xdr:to>
    <xdr:sp macro="" textlink="">
      <xdr:nvSpPr>
        <xdr:cNvPr id="1247" name="Line 14">
          <a:extLst>
            <a:ext uri="{FF2B5EF4-FFF2-40B4-BE49-F238E27FC236}">
              <a16:creationId xmlns:a16="http://schemas.microsoft.com/office/drawing/2014/main" id="{00000000-0008-0000-0500-0000DF040000}"/>
            </a:ext>
          </a:extLst>
        </xdr:cNvPr>
        <xdr:cNvSpPr>
          <a:spLocks noChangeShapeType="1"/>
        </xdr:cNvSpPr>
      </xdr:nvSpPr>
      <xdr:spPr bwMode="auto">
        <a:xfrm>
          <a:off x="3524250" y="6867525"/>
          <a:ext cx="121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228600</xdr:colOff>
      <xdr:row>8</xdr:row>
      <xdr:rowOff>0</xdr:rowOff>
    </xdr:from>
    <xdr:to>
      <xdr:col>5</xdr:col>
      <xdr:colOff>257175</xdr:colOff>
      <xdr:row>8</xdr:row>
      <xdr:rowOff>0</xdr:rowOff>
    </xdr:to>
    <xdr:sp macro="" textlink="">
      <xdr:nvSpPr>
        <xdr:cNvPr id="1248" name="Line 15">
          <a:extLst>
            <a:ext uri="{FF2B5EF4-FFF2-40B4-BE49-F238E27FC236}">
              <a16:creationId xmlns:a16="http://schemas.microsoft.com/office/drawing/2014/main" id="{00000000-0008-0000-0500-0000E0040000}"/>
            </a:ext>
          </a:extLst>
        </xdr:cNvPr>
        <xdr:cNvSpPr>
          <a:spLocks noChangeShapeType="1"/>
        </xdr:cNvSpPr>
      </xdr:nvSpPr>
      <xdr:spPr bwMode="auto">
        <a:xfrm>
          <a:off x="847725" y="1476375"/>
          <a:ext cx="1295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10</xdr:row>
      <xdr:rowOff>0</xdr:rowOff>
    </xdr:from>
    <xdr:to>
      <xdr:col>5</xdr:col>
      <xdr:colOff>66675</xdr:colOff>
      <xdr:row>10</xdr:row>
      <xdr:rowOff>0</xdr:rowOff>
    </xdr:to>
    <xdr:sp macro="" textlink="">
      <xdr:nvSpPr>
        <xdr:cNvPr id="1249" name="Line 16">
          <a:extLst>
            <a:ext uri="{FF2B5EF4-FFF2-40B4-BE49-F238E27FC236}">
              <a16:creationId xmlns:a16="http://schemas.microsoft.com/office/drawing/2014/main" id="{00000000-0008-0000-0500-0000E1040000}"/>
            </a:ext>
          </a:extLst>
        </xdr:cNvPr>
        <xdr:cNvSpPr>
          <a:spLocks noChangeShapeType="1"/>
        </xdr:cNvSpPr>
      </xdr:nvSpPr>
      <xdr:spPr bwMode="auto">
        <a:xfrm flipV="1">
          <a:off x="1085850" y="1800225"/>
          <a:ext cx="866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</xdr:row>
      <xdr:rowOff>152400</xdr:rowOff>
    </xdr:from>
    <xdr:to>
      <xdr:col>12</xdr:col>
      <xdr:colOff>9525</xdr:colOff>
      <xdr:row>8</xdr:row>
      <xdr:rowOff>152400</xdr:rowOff>
    </xdr:to>
    <xdr:sp macro="" textlink="">
      <xdr:nvSpPr>
        <xdr:cNvPr id="1250" name="Line 17">
          <a:extLst>
            <a:ext uri="{FF2B5EF4-FFF2-40B4-BE49-F238E27FC236}">
              <a16:creationId xmlns:a16="http://schemas.microsoft.com/office/drawing/2014/main" id="{00000000-0008-0000-0500-0000E2040000}"/>
            </a:ext>
          </a:extLst>
        </xdr:cNvPr>
        <xdr:cNvSpPr>
          <a:spLocks noChangeShapeType="1"/>
        </xdr:cNvSpPr>
      </xdr:nvSpPr>
      <xdr:spPr bwMode="auto">
        <a:xfrm flipH="1" flipV="1">
          <a:off x="3687536" y="1812471"/>
          <a:ext cx="37691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12</xdr:col>
      <xdr:colOff>9525</xdr:colOff>
      <xdr:row>11</xdr:row>
      <xdr:rowOff>0</xdr:rowOff>
    </xdr:to>
    <xdr:sp macro="" textlink="">
      <xdr:nvSpPr>
        <xdr:cNvPr id="1251" name="Line 18">
          <a:extLst>
            <a:ext uri="{FF2B5EF4-FFF2-40B4-BE49-F238E27FC236}">
              <a16:creationId xmlns:a16="http://schemas.microsoft.com/office/drawing/2014/main" id="{00000000-0008-0000-0500-0000E3040000}"/>
            </a:ext>
          </a:extLst>
        </xdr:cNvPr>
        <xdr:cNvSpPr>
          <a:spLocks noChangeShapeType="1"/>
        </xdr:cNvSpPr>
      </xdr:nvSpPr>
      <xdr:spPr bwMode="auto">
        <a:xfrm flipH="1" flipV="1">
          <a:off x="3552825" y="19621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7</xdr:row>
      <xdr:rowOff>0</xdr:rowOff>
    </xdr:from>
    <xdr:to>
      <xdr:col>12</xdr:col>
      <xdr:colOff>9525</xdr:colOff>
      <xdr:row>7</xdr:row>
      <xdr:rowOff>0</xdr:rowOff>
    </xdr:to>
    <xdr:sp macro="" textlink="">
      <xdr:nvSpPr>
        <xdr:cNvPr id="22" name="Line 17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>
          <a:spLocks noChangeShapeType="1"/>
        </xdr:cNvSpPr>
      </xdr:nvSpPr>
      <xdr:spPr bwMode="auto">
        <a:xfrm flipH="1" flipV="1">
          <a:off x="3687536" y="1333500"/>
          <a:ext cx="37691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45</xdr:row>
      <xdr:rowOff>104775</xdr:rowOff>
    </xdr:from>
    <xdr:to>
      <xdr:col>16</xdr:col>
      <xdr:colOff>19050</xdr:colOff>
      <xdr:row>45</xdr:row>
      <xdr:rowOff>104775</xdr:rowOff>
    </xdr:to>
    <xdr:sp macro="" textlink="">
      <xdr:nvSpPr>
        <xdr:cNvPr id="7389" name="Line 1">
          <a:extLst>
            <a:ext uri="{FF2B5EF4-FFF2-40B4-BE49-F238E27FC236}">
              <a16:creationId xmlns:a16="http://schemas.microsoft.com/office/drawing/2014/main" id="{00000000-0008-0000-0600-0000DD1C0000}"/>
            </a:ext>
          </a:extLst>
        </xdr:cNvPr>
        <xdr:cNvSpPr>
          <a:spLocks noChangeShapeType="1"/>
        </xdr:cNvSpPr>
      </xdr:nvSpPr>
      <xdr:spPr bwMode="auto">
        <a:xfrm>
          <a:off x="1952625" y="8572500"/>
          <a:ext cx="2533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247650</xdr:colOff>
      <xdr:row>28</xdr:row>
      <xdr:rowOff>114300</xdr:rowOff>
    </xdr:from>
    <xdr:to>
      <xdr:col>16</xdr:col>
      <xdr:colOff>28575</xdr:colOff>
      <xdr:row>28</xdr:row>
      <xdr:rowOff>114300</xdr:rowOff>
    </xdr:to>
    <xdr:sp macro="" textlink="">
      <xdr:nvSpPr>
        <xdr:cNvPr id="7390" name="Line 2">
          <a:extLst>
            <a:ext uri="{FF2B5EF4-FFF2-40B4-BE49-F238E27FC236}">
              <a16:creationId xmlns:a16="http://schemas.microsoft.com/office/drawing/2014/main" id="{00000000-0008-0000-0600-0000DE1C0000}"/>
            </a:ext>
          </a:extLst>
        </xdr:cNvPr>
        <xdr:cNvSpPr>
          <a:spLocks noChangeShapeType="1"/>
        </xdr:cNvSpPr>
      </xdr:nvSpPr>
      <xdr:spPr bwMode="auto">
        <a:xfrm>
          <a:off x="2028825" y="5162550"/>
          <a:ext cx="2466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171450</xdr:colOff>
      <xdr:row>36</xdr:row>
      <xdr:rowOff>114300</xdr:rowOff>
    </xdr:from>
    <xdr:to>
      <xdr:col>16</xdr:col>
      <xdr:colOff>19050</xdr:colOff>
      <xdr:row>36</xdr:row>
      <xdr:rowOff>114300</xdr:rowOff>
    </xdr:to>
    <xdr:sp macro="" textlink="">
      <xdr:nvSpPr>
        <xdr:cNvPr id="7391" name="Line 3">
          <a:extLst>
            <a:ext uri="{FF2B5EF4-FFF2-40B4-BE49-F238E27FC236}">
              <a16:creationId xmlns:a16="http://schemas.microsoft.com/office/drawing/2014/main" id="{00000000-0008-0000-0600-0000DF1C0000}"/>
            </a:ext>
          </a:extLst>
        </xdr:cNvPr>
        <xdr:cNvSpPr>
          <a:spLocks noChangeShapeType="1"/>
        </xdr:cNvSpPr>
      </xdr:nvSpPr>
      <xdr:spPr bwMode="auto">
        <a:xfrm>
          <a:off x="1952625" y="6762750"/>
          <a:ext cx="2533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12</xdr:col>
      <xdr:colOff>9525</xdr:colOff>
      <xdr:row>3</xdr:row>
      <xdr:rowOff>85725</xdr:rowOff>
    </xdr:from>
    <xdr:to>
      <xdr:col>12</xdr:col>
      <xdr:colOff>9525</xdr:colOff>
      <xdr:row>16</xdr:row>
      <xdr:rowOff>76200</xdr:rowOff>
    </xdr:to>
    <xdr:sp macro="" textlink="">
      <xdr:nvSpPr>
        <xdr:cNvPr id="7392" name="Line 4">
          <a:extLst>
            <a:ext uri="{FF2B5EF4-FFF2-40B4-BE49-F238E27FC236}">
              <a16:creationId xmlns:a16="http://schemas.microsoft.com/office/drawing/2014/main" id="{00000000-0008-0000-0600-0000E01C0000}"/>
            </a:ext>
          </a:extLst>
        </xdr:cNvPr>
        <xdr:cNvSpPr>
          <a:spLocks noChangeShapeType="1"/>
        </xdr:cNvSpPr>
      </xdr:nvSpPr>
      <xdr:spPr bwMode="auto">
        <a:xfrm>
          <a:off x="3648075" y="685800"/>
          <a:ext cx="0" cy="2095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38100</xdr:colOff>
      <xdr:row>4</xdr:row>
      <xdr:rowOff>19050</xdr:rowOff>
    </xdr:from>
    <xdr:to>
      <xdr:col>3</xdr:col>
      <xdr:colOff>409575</xdr:colOff>
      <xdr:row>17</xdr:row>
      <xdr:rowOff>28575</xdr:rowOff>
    </xdr:to>
    <xdr:sp macro="" textlink="">
      <xdr:nvSpPr>
        <xdr:cNvPr id="7393" name="Line 5">
          <a:extLst>
            <a:ext uri="{FF2B5EF4-FFF2-40B4-BE49-F238E27FC236}">
              <a16:creationId xmlns:a16="http://schemas.microsoft.com/office/drawing/2014/main" id="{00000000-0008-0000-0600-0000E11C0000}"/>
            </a:ext>
          </a:extLst>
        </xdr:cNvPr>
        <xdr:cNvSpPr>
          <a:spLocks noChangeShapeType="1"/>
        </xdr:cNvSpPr>
      </xdr:nvSpPr>
      <xdr:spPr bwMode="auto">
        <a:xfrm flipH="1" flipV="1">
          <a:off x="361950" y="781050"/>
          <a:ext cx="1038225" cy="2114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409575</xdr:colOff>
      <xdr:row>4</xdr:row>
      <xdr:rowOff>0</xdr:rowOff>
    </xdr:from>
    <xdr:to>
      <xdr:col>6</xdr:col>
      <xdr:colOff>76200</xdr:colOff>
      <xdr:row>17</xdr:row>
      <xdr:rowOff>9525</xdr:rowOff>
    </xdr:to>
    <xdr:sp macro="" textlink="">
      <xdr:nvSpPr>
        <xdr:cNvPr id="7394" name="Line 6">
          <a:extLst>
            <a:ext uri="{FF2B5EF4-FFF2-40B4-BE49-F238E27FC236}">
              <a16:creationId xmlns:a16="http://schemas.microsoft.com/office/drawing/2014/main" id="{00000000-0008-0000-0600-0000E21C0000}"/>
            </a:ext>
          </a:extLst>
        </xdr:cNvPr>
        <xdr:cNvSpPr>
          <a:spLocks noChangeShapeType="1"/>
        </xdr:cNvSpPr>
      </xdr:nvSpPr>
      <xdr:spPr bwMode="auto">
        <a:xfrm flipH="1">
          <a:off x="1400175" y="762000"/>
          <a:ext cx="990600" cy="2114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238125</xdr:colOff>
      <xdr:row>9</xdr:row>
      <xdr:rowOff>0</xdr:rowOff>
    </xdr:from>
    <xdr:to>
      <xdr:col>5</xdr:col>
      <xdr:colOff>257175</xdr:colOff>
      <xdr:row>9</xdr:row>
      <xdr:rowOff>0</xdr:rowOff>
    </xdr:to>
    <xdr:sp macro="" textlink="">
      <xdr:nvSpPr>
        <xdr:cNvPr id="7395" name="Line 8">
          <a:extLst>
            <a:ext uri="{FF2B5EF4-FFF2-40B4-BE49-F238E27FC236}">
              <a16:creationId xmlns:a16="http://schemas.microsoft.com/office/drawing/2014/main" id="{00000000-0008-0000-0600-0000E31C0000}"/>
            </a:ext>
          </a:extLst>
        </xdr:cNvPr>
        <xdr:cNvSpPr>
          <a:spLocks noChangeShapeType="1"/>
        </xdr:cNvSpPr>
      </xdr:nvSpPr>
      <xdr:spPr bwMode="auto">
        <a:xfrm>
          <a:off x="762000" y="1571625"/>
          <a:ext cx="1276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7</xdr:row>
      <xdr:rowOff>0</xdr:rowOff>
    </xdr:from>
    <xdr:to>
      <xdr:col>5</xdr:col>
      <xdr:colOff>447675</xdr:colOff>
      <xdr:row>7</xdr:row>
      <xdr:rowOff>0</xdr:rowOff>
    </xdr:to>
    <xdr:sp macro="" textlink="">
      <xdr:nvSpPr>
        <xdr:cNvPr id="7396" name="Line 9">
          <a:extLst>
            <a:ext uri="{FF2B5EF4-FFF2-40B4-BE49-F238E27FC236}">
              <a16:creationId xmlns:a16="http://schemas.microsoft.com/office/drawing/2014/main" id="{00000000-0008-0000-0600-0000E41C0000}"/>
            </a:ext>
          </a:extLst>
        </xdr:cNvPr>
        <xdr:cNvSpPr>
          <a:spLocks noChangeShapeType="1"/>
        </xdr:cNvSpPr>
      </xdr:nvSpPr>
      <xdr:spPr bwMode="auto">
        <a:xfrm>
          <a:off x="600075" y="1247775"/>
          <a:ext cx="1628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9525</xdr:colOff>
      <xdr:row>3</xdr:row>
      <xdr:rowOff>85725</xdr:rowOff>
    </xdr:from>
    <xdr:to>
      <xdr:col>12</xdr:col>
      <xdr:colOff>9525</xdr:colOff>
      <xdr:row>3</xdr:row>
      <xdr:rowOff>95250</xdr:rowOff>
    </xdr:to>
    <xdr:sp macro="" textlink="">
      <xdr:nvSpPr>
        <xdr:cNvPr id="7397" name="Line 10">
          <a:extLst>
            <a:ext uri="{FF2B5EF4-FFF2-40B4-BE49-F238E27FC236}">
              <a16:creationId xmlns:a16="http://schemas.microsoft.com/office/drawing/2014/main" id="{00000000-0008-0000-0600-0000E51C0000}"/>
            </a:ext>
          </a:extLst>
        </xdr:cNvPr>
        <xdr:cNvSpPr>
          <a:spLocks noChangeShapeType="1"/>
        </xdr:cNvSpPr>
      </xdr:nvSpPr>
      <xdr:spPr bwMode="auto">
        <a:xfrm flipH="1">
          <a:off x="3381375" y="685800"/>
          <a:ext cx="2667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180975</xdr:colOff>
      <xdr:row>5</xdr:row>
      <xdr:rowOff>152400</xdr:rowOff>
    </xdr:from>
    <xdr:to>
      <xdr:col>12</xdr:col>
      <xdr:colOff>0</xdr:colOff>
      <xdr:row>5</xdr:row>
      <xdr:rowOff>152400</xdr:rowOff>
    </xdr:to>
    <xdr:sp macro="" textlink="">
      <xdr:nvSpPr>
        <xdr:cNvPr id="7398" name="Line 11">
          <a:extLst>
            <a:ext uri="{FF2B5EF4-FFF2-40B4-BE49-F238E27FC236}">
              <a16:creationId xmlns:a16="http://schemas.microsoft.com/office/drawing/2014/main" id="{00000000-0008-0000-0600-0000E61C0000}"/>
            </a:ext>
          </a:extLst>
        </xdr:cNvPr>
        <xdr:cNvSpPr>
          <a:spLocks noChangeShapeType="1"/>
        </xdr:cNvSpPr>
      </xdr:nvSpPr>
      <xdr:spPr bwMode="auto">
        <a:xfrm flipH="1">
          <a:off x="3362325" y="10763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8</xdr:row>
      <xdr:rowOff>0</xdr:rowOff>
    </xdr:from>
    <xdr:to>
      <xdr:col>12</xdr:col>
      <xdr:colOff>0</xdr:colOff>
      <xdr:row>8</xdr:row>
      <xdr:rowOff>9525</xdr:rowOff>
    </xdr:to>
    <xdr:sp macro="" textlink="">
      <xdr:nvSpPr>
        <xdr:cNvPr id="7399" name="Line 12">
          <a:extLst>
            <a:ext uri="{FF2B5EF4-FFF2-40B4-BE49-F238E27FC236}">
              <a16:creationId xmlns:a16="http://schemas.microsoft.com/office/drawing/2014/main" id="{00000000-0008-0000-0600-0000E71C0000}"/>
            </a:ext>
          </a:extLst>
        </xdr:cNvPr>
        <xdr:cNvSpPr>
          <a:spLocks noChangeShapeType="1"/>
        </xdr:cNvSpPr>
      </xdr:nvSpPr>
      <xdr:spPr bwMode="auto">
        <a:xfrm flipH="1">
          <a:off x="3371850" y="1409700"/>
          <a:ext cx="2667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16</xdr:row>
      <xdr:rowOff>85725</xdr:rowOff>
    </xdr:from>
    <xdr:to>
      <xdr:col>12</xdr:col>
      <xdr:colOff>0</xdr:colOff>
      <xdr:row>16</xdr:row>
      <xdr:rowOff>85725</xdr:rowOff>
    </xdr:to>
    <xdr:sp macro="" textlink="">
      <xdr:nvSpPr>
        <xdr:cNvPr id="7400" name="Line 13">
          <a:extLst>
            <a:ext uri="{FF2B5EF4-FFF2-40B4-BE49-F238E27FC236}">
              <a16:creationId xmlns:a16="http://schemas.microsoft.com/office/drawing/2014/main" id="{00000000-0008-0000-0600-0000E81C0000}"/>
            </a:ext>
          </a:extLst>
        </xdr:cNvPr>
        <xdr:cNvSpPr>
          <a:spLocks noChangeShapeType="1"/>
        </xdr:cNvSpPr>
      </xdr:nvSpPr>
      <xdr:spPr bwMode="auto">
        <a:xfrm flipH="1">
          <a:off x="3371850" y="279082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180975</xdr:colOff>
      <xdr:row>10</xdr:row>
      <xdr:rowOff>0</xdr:rowOff>
    </xdr:from>
    <xdr:to>
      <xdr:col>12</xdr:col>
      <xdr:colOff>0</xdr:colOff>
      <xdr:row>10</xdr:row>
      <xdr:rowOff>0</xdr:rowOff>
    </xdr:to>
    <xdr:sp macro="" textlink="">
      <xdr:nvSpPr>
        <xdr:cNvPr id="7401" name="Line 14">
          <a:extLst>
            <a:ext uri="{FF2B5EF4-FFF2-40B4-BE49-F238E27FC236}">
              <a16:creationId xmlns:a16="http://schemas.microsoft.com/office/drawing/2014/main" id="{00000000-0008-0000-0600-0000E91C0000}"/>
            </a:ext>
          </a:extLst>
        </xdr:cNvPr>
        <xdr:cNvSpPr>
          <a:spLocks noChangeShapeType="1"/>
        </xdr:cNvSpPr>
      </xdr:nvSpPr>
      <xdr:spPr bwMode="auto">
        <a:xfrm flipH="1" flipV="1">
          <a:off x="3362325" y="17335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457200</xdr:colOff>
      <xdr:row>43</xdr:row>
      <xdr:rowOff>114300</xdr:rowOff>
    </xdr:from>
    <xdr:to>
      <xdr:col>16</xdr:col>
      <xdr:colOff>38100</xdr:colOff>
      <xdr:row>43</xdr:row>
      <xdr:rowOff>123825</xdr:rowOff>
    </xdr:to>
    <xdr:sp macro="" textlink="">
      <xdr:nvSpPr>
        <xdr:cNvPr id="7402" name="Line 15">
          <a:extLst>
            <a:ext uri="{FF2B5EF4-FFF2-40B4-BE49-F238E27FC236}">
              <a16:creationId xmlns:a16="http://schemas.microsoft.com/office/drawing/2014/main" id="{00000000-0008-0000-0600-0000EA1C0000}"/>
            </a:ext>
          </a:extLst>
        </xdr:cNvPr>
        <xdr:cNvSpPr>
          <a:spLocks noChangeShapeType="1"/>
        </xdr:cNvSpPr>
      </xdr:nvSpPr>
      <xdr:spPr bwMode="auto">
        <a:xfrm>
          <a:off x="1447800" y="8172450"/>
          <a:ext cx="30575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142875</xdr:colOff>
      <xdr:row>41</xdr:row>
      <xdr:rowOff>114300</xdr:rowOff>
    </xdr:from>
    <xdr:to>
      <xdr:col>16</xdr:col>
      <xdr:colOff>57150</xdr:colOff>
      <xdr:row>41</xdr:row>
      <xdr:rowOff>114300</xdr:rowOff>
    </xdr:to>
    <xdr:sp macro="" textlink="">
      <xdr:nvSpPr>
        <xdr:cNvPr id="7403" name="Line 16">
          <a:extLst>
            <a:ext uri="{FF2B5EF4-FFF2-40B4-BE49-F238E27FC236}">
              <a16:creationId xmlns:a16="http://schemas.microsoft.com/office/drawing/2014/main" id="{00000000-0008-0000-0600-0000EB1C0000}"/>
            </a:ext>
          </a:extLst>
        </xdr:cNvPr>
        <xdr:cNvSpPr>
          <a:spLocks noChangeShapeType="1"/>
        </xdr:cNvSpPr>
      </xdr:nvSpPr>
      <xdr:spPr bwMode="auto">
        <a:xfrm>
          <a:off x="3514725" y="7772400"/>
          <a:ext cx="1009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400050</xdr:colOff>
      <xdr:row>11</xdr:row>
      <xdr:rowOff>0</xdr:rowOff>
    </xdr:from>
    <xdr:to>
      <xdr:col>5</xdr:col>
      <xdr:colOff>104775</xdr:colOff>
      <xdr:row>11</xdr:row>
      <xdr:rowOff>0</xdr:rowOff>
    </xdr:to>
    <xdr:sp macro="" textlink="">
      <xdr:nvSpPr>
        <xdr:cNvPr id="7404" name="Line 17">
          <a:extLst>
            <a:ext uri="{FF2B5EF4-FFF2-40B4-BE49-F238E27FC236}">
              <a16:creationId xmlns:a16="http://schemas.microsoft.com/office/drawing/2014/main" id="{00000000-0008-0000-0600-0000EC1C0000}"/>
            </a:ext>
          </a:extLst>
        </xdr:cNvPr>
        <xdr:cNvSpPr>
          <a:spLocks noChangeShapeType="1"/>
        </xdr:cNvSpPr>
      </xdr:nvSpPr>
      <xdr:spPr bwMode="auto">
        <a:xfrm>
          <a:off x="923925" y="1895475"/>
          <a:ext cx="962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13</xdr:row>
      <xdr:rowOff>0</xdr:rowOff>
    </xdr:from>
    <xdr:to>
      <xdr:col>4</xdr:col>
      <xdr:colOff>104775</xdr:colOff>
      <xdr:row>13</xdr:row>
      <xdr:rowOff>0</xdr:rowOff>
    </xdr:to>
    <xdr:sp macro="" textlink="">
      <xdr:nvSpPr>
        <xdr:cNvPr id="7405" name="Line 18">
          <a:extLst>
            <a:ext uri="{FF2B5EF4-FFF2-40B4-BE49-F238E27FC236}">
              <a16:creationId xmlns:a16="http://schemas.microsoft.com/office/drawing/2014/main" id="{00000000-0008-0000-0600-0000ED1C0000}"/>
            </a:ext>
          </a:extLst>
        </xdr:cNvPr>
        <xdr:cNvSpPr>
          <a:spLocks noChangeShapeType="1"/>
        </xdr:cNvSpPr>
      </xdr:nvSpPr>
      <xdr:spPr bwMode="auto">
        <a:xfrm flipV="1">
          <a:off x="1066800" y="2219325"/>
          <a:ext cx="619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</xdr:row>
      <xdr:rowOff>152400</xdr:rowOff>
    </xdr:from>
    <xdr:to>
      <xdr:col>12</xdr:col>
      <xdr:colOff>9525</xdr:colOff>
      <xdr:row>11</xdr:row>
      <xdr:rowOff>152400</xdr:rowOff>
    </xdr:to>
    <xdr:sp macro="" textlink="">
      <xdr:nvSpPr>
        <xdr:cNvPr id="7406" name="Line 19">
          <a:extLst>
            <a:ext uri="{FF2B5EF4-FFF2-40B4-BE49-F238E27FC236}">
              <a16:creationId xmlns:a16="http://schemas.microsoft.com/office/drawing/2014/main" id="{00000000-0008-0000-0600-0000EE1C0000}"/>
            </a:ext>
          </a:extLst>
        </xdr:cNvPr>
        <xdr:cNvSpPr>
          <a:spLocks noChangeShapeType="1"/>
        </xdr:cNvSpPr>
      </xdr:nvSpPr>
      <xdr:spPr bwMode="auto">
        <a:xfrm flipH="1" flipV="1">
          <a:off x="3371850" y="204787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14</xdr:row>
      <xdr:rowOff>0</xdr:rowOff>
    </xdr:from>
    <xdr:to>
      <xdr:col>12</xdr:col>
      <xdr:colOff>9525</xdr:colOff>
      <xdr:row>14</xdr:row>
      <xdr:rowOff>0</xdr:rowOff>
    </xdr:to>
    <xdr:sp macro="" textlink="">
      <xdr:nvSpPr>
        <xdr:cNvPr id="7407" name="Line 20">
          <a:extLst>
            <a:ext uri="{FF2B5EF4-FFF2-40B4-BE49-F238E27FC236}">
              <a16:creationId xmlns:a16="http://schemas.microsoft.com/office/drawing/2014/main" id="{00000000-0008-0000-0600-0000EF1C0000}"/>
            </a:ext>
          </a:extLst>
        </xdr:cNvPr>
        <xdr:cNvSpPr>
          <a:spLocks noChangeShapeType="1"/>
        </xdr:cNvSpPr>
      </xdr:nvSpPr>
      <xdr:spPr bwMode="auto">
        <a:xfrm flipH="1" flipV="1">
          <a:off x="3371850" y="23812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9525</xdr:colOff>
      <xdr:row>4</xdr:row>
      <xdr:rowOff>0</xdr:rowOff>
    </xdr:from>
    <xdr:to>
      <xdr:col>6</xdr:col>
      <xdr:colOff>76200</xdr:colOff>
      <xdr:row>4</xdr:row>
      <xdr:rowOff>1588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CxnSpPr>
          <a:endCxn id="7394" idx="0"/>
        </xdr:cNvCxnSpPr>
      </xdr:nvCxnSpPr>
      <xdr:spPr>
        <a:xfrm>
          <a:off x="333375" y="762000"/>
          <a:ext cx="20574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406400</xdr:colOff>
      <xdr:row>4</xdr:row>
      <xdr:rowOff>114300</xdr:rowOff>
    </xdr:from>
    <xdr:to>
      <xdr:col>6</xdr:col>
      <xdr:colOff>25400</xdr:colOff>
      <xdr:row>16</xdr:row>
      <xdr:rowOff>88900</xdr:rowOff>
    </xdr:to>
    <xdr:sp macro="" textlink="">
      <xdr:nvSpPr>
        <xdr:cNvPr id="2" name="Line 26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ShapeType="1"/>
        </xdr:cNvSpPr>
      </xdr:nvSpPr>
      <xdr:spPr bwMode="auto">
        <a:xfrm>
          <a:off x="1292225" y="962025"/>
          <a:ext cx="971550" cy="191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190500</xdr:colOff>
      <xdr:row>4</xdr:row>
      <xdr:rowOff>88900</xdr:rowOff>
    </xdr:from>
    <xdr:to>
      <xdr:col>3</xdr:col>
      <xdr:colOff>406400</xdr:colOff>
      <xdr:row>16</xdr:row>
      <xdr:rowOff>88900</xdr:rowOff>
    </xdr:to>
    <xdr:sp macro="" textlink="">
      <xdr:nvSpPr>
        <xdr:cNvPr id="3" name="Line 26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ShapeType="1"/>
        </xdr:cNvSpPr>
      </xdr:nvSpPr>
      <xdr:spPr bwMode="auto">
        <a:xfrm flipH="1">
          <a:off x="352425" y="936625"/>
          <a:ext cx="939800" cy="1943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190500</xdr:colOff>
      <xdr:row>16</xdr:row>
      <xdr:rowOff>76200</xdr:rowOff>
    </xdr:from>
    <xdr:to>
      <xdr:col>6</xdr:col>
      <xdr:colOff>31750</xdr:colOff>
      <xdr:row>16</xdr:row>
      <xdr:rowOff>76200</xdr:rowOff>
    </xdr:to>
    <xdr:sp macro="" textlink="">
      <xdr:nvSpPr>
        <xdr:cNvPr id="4" name="Line 29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ShapeType="1"/>
        </xdr:cNvSpPr>
      </xdr:nvSpPr>
      <xdr:spPr bwMode="auto">
        <a:xfrm>
          <a:off x="352425" y="2867025"/>
          <a:ext cx="191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215900</xdr:colOff>
      <xdr:row>14</xdr:row>
      <xdr:rowOff>12700</xdr:rowOff>
    </xdr:from>
    <xdr:to>
      <xdr:col>5</xdr:col>
      <xdr:colOff>273844</xdr:colOff>
      <xdr:row>14</xdr:row>
      <xdr:rowOff>12700</xdr:rowOff>
    </xdr:to>
    <xdr:sp macro="" textlink="">
      <xdr:nvSpPr>
        <xdr:cNvPr id="5" name="Line 30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ShapeType="1"/>
        </xdr:cNvSpPr>
      </xdr:nvSpPr>
      <xdr:spPr bwMode="auto">
        <a:xfrm flipV="1">
          <a:off x="577850" y="2479675"/>
          <a:ext cx="138191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406400</xdr:colOff>
      <xdr:row>11</xdr:row>
      <xdr:rowOff>139700</xdr:rowOff>
    </xdr:from>
    <xdr:to>
      <xdr:col>5</xdr:col>
      <xdr:colOff>83344</xdr:colOff>
      <xdr:row>11</xdr:row>
      <xdr:rowOff>139700</xdr:rowOff>
    </xdr:to>
    <xdr:sp macro="" textlink="">
      <xdr:nvSpPr>
        <xdr:cNvPr id="6" name="Line 38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 noChangeShapeType="1"/>
        </xdr:cNvSpPr>
      </xdr:nvSpPr>
      <xdr:spPr bwMode="auto">
        <a:xfrm>
          <a:off x="768350" y="2120900"/>
          <a:ext cx="100091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r>
            <a:rPr lang="en-US"/>
            <a:t>1</a:t>
          </a:r>
        </a:p>
      </xdr:txBody>
    </xdr:sp>
    <xdr:clientData/>
  </xdr:twoCellAnchor>
  <xdr:twoCellAnchor>
    <xdr:from>
      <xdr:col>3</xdr:col>
      <xdr:colOff>88900</xdr:colOff>
      <xdr:row>8</xdr:row>
      <xdr:rowOff>38100</xdr:rowOff>
    </xdr:from>
    <xdr:to>
      <xdr:col>4</xdr:col>
      <xdr:colOff>87312</xdr:colOff>
      <xdr:row>8</xdr:row>
      <xdr:rowOff>38100</xdr:rowOff>
    </xdr:to>
    <xdr:sp macro="" textlink="">
      <xdr:nvSpPr>
        <xdr:cNvPr id="7" name="Line 39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 noChangeShapeType="1"/>
        </xdr:cNvSpPr>
      </xdr:nvSpPr>
      <xdr:spPr bwMode="auto">
        <a:xfrm flipV="1">
          <a:off x="974725" y="1533525"/>
          <a:ext cx="59848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12700</xdr:colOff>
      <xdr:row>10</xdr:row>
      <xdr:rowOff>12700</xdr:rowOff>
    </xdr:from>
    <xdr:to>
      <xdr:col>4</xdr:col>
      <xdr:colOff>190500</xdr:colOff>
      <xdr:row>10</xdr:row>
      <xdr:rowOff>14288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CxnSpPr/>
      </xdr:nvCxnSpPr>
      <xdr:spPr>
        <a:xfrm>
          <a:off x="898525" y="1831975"/>
          <a:ext cx="7778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666750</xdr:colOff>
      <xdr:row>21</xdr:row>
      <xdr:rowOff>114300</xdr:rowOff>
    </xdr:to>
    <xdr:pic>
      <xdr:nvPicPr>
        <xdr:cNvPr id="9" name="Picture 1" descr="http://www.rfbnews.com/images/lb_LGD.png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91550" y="3600450"/>
          <a:ext cx="666750" cy="27622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27</xdr:col>
      <xdr:colOff>568325</xdr:colOff>
      <xdr:row>29</xdr:row>
      <xdr:rowOff>85725</xdr:rowOff>
    </xdr:to>
    <xdr:pic>
      <xdr:nvPicPr>
        <xdr:cNvPr id="10" name="Picture 2" descr="http://www.rfbnews.com/images/lb_HSI_futures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591550" y="5143500"/>
          <a:ext cx="1263650" cy="27622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36</xdr:row>
      <xdr:rowOff>0</xdr:rowOff>
    </xdr:from>
    <xdr:to>
      <xdr:col>27</xdr:col>
      <xdr:colOff>568325</xdr:colOff>
      <xdr:row>37</xdr:row>
      <xdr:rowOff>76200</xdr:rowOff>
    </xdr:to>
    <xdr:pic>
      <xdr:nvPicPr>
        <xdr:cNvPr id="11" name="Picture 3" descr="http://www.rfbnews.com/images/lb_SNI_futures.png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591550" y="6743700"/>
          <a:ext cx="1263650" cy="27622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27</xdr:col>
      <xdr:colOff>568325</xdr:colOff>
      <xdr:row>45</xdr:row>
      <xdr:rowOff>66675</xdr:rowOff>
    </xdr:to>
    <xdr:pic>
      <xdr:nvPicPr>
        <xdr:cNvPr id="12" name="Picture 4" descr="http://www.rfbnews.com/images/lb_AUD-USD.png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8591550" y="8353425"/>
          <a:ext cx="1263650" cy="27622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52</xdr:row>
      <xdr:rowOff>0</xdr:rowOff>
    </xdr:from>
    <xdr:to>
      <xdr:col>27</xdr:col>
      <xdr:colOff>568325</xdr:colOff>
      <xdr:row>53</xdr:row>
      <xdr:rowOff>114300</xdr:rowOff>
    </xdr:to>
    <xdr:pic>
      <xdr:nvPicPr>
        <xdr:cNvPr id="13" name="Picture 5" descr="http://www.rfbnews.com/images/lb_EUR-USD.png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8591550" y="9696450"/>
          <a:ext cx="1263650" cy="27622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60</xdr:row>
      <xdr:rowOff>0</xdr:rowOff>
    </xdr:from>
    <xdr:to>
      <xdr:col>27</xdr:col>
      <xdr:colOff>568325</xdr:colOff>
      <xdr:row>61</xdr:row>
      <xdr:rowOff>114300</xdr:rowOff>
    </xdr:to>
    <xdr:pic>
      <xdr:nvPicPr>
        <xdr:cNvPr id="14" name="Picture 6" descr="http://www.rfbnews.com/images/lb_GBP-USD.png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8591550" y="10991850"/>
          <a:ext cx="1263650" cy="27622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68</xdr:row>
      <xdr:rowOff>0</xdr:rowOff>
    </xdr:from>
    <xdr:to>
      <xdr:col>27</xdr:col>
      <xdr:colOff>568325</xdr:colOff>
      <xdr:row>69</xdr:row>
      <xdr:rowOff>114300</xdr:rowOff>
    </xdr:to>
    <xdr:pic>
      <xdr:nvPicPr>
        <xdr:cNvPr id="15" name="Picture 7" descr="http://www.rfbnews.com/images/lb_USD-CHF.png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8591550" y="12287250"/>
          <a:ext cx="1263650" cy="27622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76</xdr:row>
      <xdr:rowOff>0</xdr:rowOff>
    </xdr:from>
    <xdr:to>
      <xdr:col>27</xdr:col>
      <xdr:colOff>568325</xdr:colOff>
      <xdr:row>77</xdr:row>
      <xdr:rowOff>114300</xdr:rowOff>
    </xdr:to>
    <xdr:pic>
      <xdr:nvPicPr>
        <xdr:cNvPr id="16" name="Picture 8" descr="http://www.rfbnews.com/images/lb_USD-JPY.png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8591550" y="13582650"/>
          <a:ext cx="1263650" cy="276225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35</xdr:row>
      <xdr:rowOff>104775</xdr:rowOff>
    </xdr:from>
    <xdr:to>
      <xdr:col>16</xdr:col>
      <xdr:colOff>19050</xdr:colOff>
      <xdr:row>35</xdr:row>
      <xdr:rowOff>104775</xdr:rowOff>
    </xdr:to>
    <xdr:sp macro="" textlink="">
      <xdr:nvSpPr>
        <xdr:cNvPr id="2" name="Line 2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ShapeType="1"/>
        </xdr:cNvSpPr>
      </xdr:nvSpPr>
      <xdr:spPr bwMode="auto">
        <a:xfrm>
          <a:off x="1943100" y="6848475"/>
          <a:ext cx="3028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142875</xdr:colOff>
      <xdr:row>20</xdr:row>
      <xdr:rowOff>114300</xdr:rowOff>
    </xdr:from>
    <xdr:to>
      <xdr:col>16</xdr:col>
      <xdr:colOff>28575</xdr:colOff>
      <xdr:row>20</xdr:row>
      <xdr:rowOff>114300</xdr:rowOff>
    </xdr:to>
    <xdr:sp macro="" textlink="">
      <xdr:nvSpPr>
        <xdr:cNvPr id="3" name="Line 2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ShapeType="1"/>
        </xdr:cNvSpPr>
      </xdr:nvSpPr>
      <xdr:spPr bwMode="auto">
        <a:xfrm>
          <a:off x="2209800" y="3838575"/>
          <a:ext cx="2771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9525</xdr:colOff>
      <xdr:row>26</xdr:row>
      <xdr:rowOff>114300</xdr:rowOff>
    </xdr:from>
    <xdr:to>
      <xdr:col>16</xdr:col>
      <xdr:colOff>19050</xdr:colOff>
      <xdr:row>26</xdr:row>
      <xdr:rowOff>114300</xdr:rowOff>
    </xdr:to>
    <xdr:sp macro="" textlink="">
      <xdr:nvSpPr>
        <xdr:cNvPr id="4" name="Line 2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ShapeType="1"/>
        </xdr:cNvSpPr>
      </xdr:nvSpPr>
      <xdr:spPr bwMode="auto">
        <a:xfrm>
          <a:off x="2076450" y="5038725"/>
          <a:ext cx="2895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12</xdr:col>
      <xdr:colOff>9525</xdr:colOff>
      <xdr:row>3</xdr:row>
      <xdr:rowOff>85725</xdr:rowOff>
    </xdr:from>
    <xdr:to>
      <xdr:col>12</xdr:col>
      <xdr:colOff>9525</xdr:colOff>
      <xdr:row>12</xdr:row>
      <xdr:rowOff>9525</xdr:rowOff>
    </xdr:to>
    <xdr:sp macro="" textlink="">
      <xdr:nvSpPr>
        <xdr:cNvPr id="5" name="Line 2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ShapeType="1"/>
        </xdr:cNvSpPr>
      </xdr:nvSpPr>
      <xdr:spPr bwMode="auto">
        <a:xfrm>
          <a:off x="4229100" y="809625"/>
          <a:ext cx="0" cy="1381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190500</xdr:colOff>
      <xdr:row>4</xdr:row>
      <xdr:rowOff>0</xdr:rowOff>
    </xdr:from>
    <xdr:to>
      <xdr:col>3</xdr:col>
      <xdr:colOff>409575</xdr:colOff>
      <xdr:row>11</xdr:row>
      <xdr:rowOff>0</xdr:rowOff>
    </xdr:to>
    <xdr:sp macro="" textlink="">
      <xdr:nvSpPr>
        <xdr:cNvPr id="6" name="Line 2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ShapeType="1"/>
        </xdr:cNvSpPr>
      </xdr:nvSpPr>
      <xdr:spPr bwMode="auto">
        <a:xfrm flipV="1">
          <a:off x="733425" y="885825"/>
          <a:ext cx="942975" cy="1133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409575</xdr:colOff>
      <xdr:row>4</xdr:row>
      <xdr:rowOff>9525</xdr:rowOff>
    </xdr:from>
    <xdr:to>
      <xdr:col>5</xdr:col>
      <xdr:colOff>485775</xdr:colOff>
      <xdr:row>11</xdr:row>
      <xdr:rowOff>0</xdr:rowOff>
    </xdr:to>
    <xdr:sp macro="" textlink="">
      <xdr:nvSpPr>
        <xdr:cNvPr id="7" name="Line 2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ChangeShapeType="1"/>
        </xdr:cNvSpPr>
      </xdr:nvSpPr>
      <xdr:spPr bwMode="auto">
        <a:xfrm>
          <a:off x="1676400" y="895350"/>
          <a:ext cx="876300" cy="1123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152400</xdr:colOff>
      <xdr:row>11</xdr:row>
      <xdr:rowOff>0</xdr:rowOff>
    </xdr:from>
    <xdr:to>
      <xdr:col>5</xdr:col>
      <xdr:colOff>476250</xdr:colOff>
      <xdr:row>11</xdr:row>
      <xdr:rowOff>0</xdr:rowOff>
    </xdr:to>
    <xdr:sp macro="" textlink="">
      <xdr:nvSpPr>
        <xdr:cNvPr id="8" name="Line 2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ChangeShapeType="1"/>
        </xdr:cNvSpPr>
      </xdr:nvSpPr>
      <xdr:spPr bwMode="auto">
        <a:xfrm>
          <a:off x="695325" y="2019300"/>
          <a:ext cx="1847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295275</xdr:colOff>
      <xdr:row>11</xdr:row>
      <xdr:rowOff>0</xdr:rowOff>
    </xdr:from>
    <xdr:to>
      <xdr:col>5</xdr:col>
      <xdr:colOff>161925</xdr:colOff>
      <xdr:row>11</xdr:row>
      <xdr:rowOff>0</xdr:rowOff>
    </xdr:to>
    <xdr:sp macro="" textlink="">
      <xdr:nvSpPr>
        <xdr:cNvPr id="9" name="Line 2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 noChangeShapeType="1"/>
        </xdr:cNvSpPr>
      </xdr:nvSpPr>
      <xdr:spPr bwMode="auto">
        <a:xfrm flipV="1">
          <a:off x="1038225" y="2019300"/>
          <a:ext cx="1190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9525</xdr:colOff>
      <xdr:row>3</xdr:row>
      <xdr:rowOff>85725</xdr:rowOff>
    </xdr:from>
    <xdr:to>
      <xdr:col>12</xdr:col>
      <xdr:colOff>9525</xdr:colOff>
      <xdr:row>3</xdr:row>
      <xdr:rowOff>95250</xdr:rowOff>
    </xdr:to>
    <xdr:sp macro="" textlink="">
      <xdr:nvSpPr>
        <xdr:cNvPr id="10" name="Line 2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>
          <a:spLocks noChangeShapeType="1"/>
        </xdr:cNvSpPr>
      </xdr:nvSpPr>
      <xdr:spPr bwMode="auto">
        <a:xfrm flipH="1">
          <a:off x="3952875" y="809625"/>
          <a:ext cx="2762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7</xdr:row>
      <xdr:rowOff>152400</xdr:rowOff>
    </xdr:from>
    <xdr:to>
      <xdr:col>12</xdr:col>
      <xdr:colOff>0</xdr:colOff>
      <xdr:row>8</xdr:row>
      <xdr:rowOff>0</xdr:rowOff>
    </xdr:to>
    <xdr:sp macro="" textlink="">
      <xdr:nvSpPr>
        <xdr:cNvPr id="11" name="Line 3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>
          <a:spLocks noChangeShapeType="1"/>
        </xdr:cNvSpPr>
      </xdr:nvSpPr>
      <xdr:spPr bwMode="auto">
        <a:xfrm flipH="1">
          <a:off x="3943350" y="1524000"/>
          <a:ext cx="2762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12</xdr:row>
      <xdr:rowOff>9525</xdr:rowOff>
    </xdr:from>
    <xdr:to>
      <xdr:col>12</xdr:col>
      <xdr:colOff>0</xdr:colOff>
      <xdr:row>12</xdr:row>
      <xdr:rowOff>9525</xdr:rowOff>
    </xdr:to>
    <xdr:sp macro="" textlink="">
      <xdr:nvSpPr>
        <xdr:cNvPr id="12" name="Line 3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>
          <a:spLocks noChangeShapeType="1"/>
        </xdr:cNvSpPr>
      </xdr:nvSpPr>
      <xdr:spPr bwMode="auto">
        <a:xfrm flipH="1">
          <a:off x="3943350" y="21907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10</xdr:row>
      <xdr:rowOff>0</xdr:rowOff>
    </xdr:from>
    <xdr:to>
      <xdr:col>12</xdr:col>
      <xdr:colOff>9525</xdr:colOff>
      <xdr:row>10</xdr:row>
      <xdr:rowOff>0</xdr:rowOff>
    </xdr:to>
    <xdr:sp macro="" textlink="">
      <xdr:nvSpPr>
        <xdr:cNvPr id="13" name="Line 33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>
          <a:spLocks noChangeShapeType="1"/>
        </xdr:cNvSpPr>
      </xdr:nvSpPr>
      <xdr:spPr bwMode="auto">
        <a:xfrm flipH="1" flipV="1">
          <a:off x="3943350" y="185737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371475</xdr:colOff>
      <xdr:row>33</xdr:row>
      <xdr:rowOff>104775</xdr:rowOff>
    </xdr:from>
    <xdr:to>
      <xdr:col>16</xdr:col>
      <xdr:colOff>0</xdr:colOff>
      <xdr:row>33</xdr:row>
      <xdr:rowOff>104775</xdr:rowOff>
    </xdr:to>
    <xdr:sp macro="" textlink="">
      <xdr:nvSpPr>
        <xdr:cNvPr id="14" name="Line 34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>
          <a:spLocks noChangeShapeType="1"/>
        </xdr:cNvSpPr>
      </xdr:nvSpPr>
      <xdr:spPr bwMode="auto">
        <a:xfrm>
          <a:off x="1638300" y="6438900"/>
          <a:ext cx="3314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219075</xdr:colOff>
      <xdr:row>9</xdr:row>
      <xdr:rowOff>0</xdr:rowOff>
    </xdr:from>
    <xdr:to>
      <xdr:col>5</xdr:col>
      <xdr:colOff>228600</xdr:colOff>
      <xdr:row>9</xdr:row>
      <xdr:rowOff>0</xdr:rowOff>
    </xdr:to>
    <xdr:sp macro="" textlink="">
      <xdr:nvSpPr>
        <xdr:cNvPr id="16" name="Line 36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>
          <a:spLocks noChangeShapeType="1"/>
        </xdr:cNvSpPr>
      </xdr:nvSpPr>
      <xdr:spPr bwMode="auto">
        <a:xfrm>
          <a:off x="962025" y="1695450"/>
          <a:ext cx="1333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2</xdr:col>
      <xdr:colOff>485775</xdr:colOff>
      <xdr:row>7</xdr:row>
      <xdr:rowOff>9525</xdr:rowOff>
    </xdr:from>
    <xdr:to>
      <xdr:col>4</xdr:col>
      <xdr:colOff>180975</xdr:colOff>
      <xdr:row>7</xdr:row>
      <xdr:rowOff>9525</xdr:rowOff>
    </xdr:to>
    <xdr:sp macro="" textlink="">
      <xdr:nvSpPr>
        <xdr:cNvPr id="17" name="Line 37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>
          <a:spLocks noChangeShapeType="1"/>
        </xdr:cNvSpPr>
      </xdr:nvSpPr>
      <xdr:spPr bwMode="auto">
        <a:xfrm flipV="1">
          <a:off x="1228725" y="1381125"/>
          <a:ext cx="819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161925</xdr:colOff>
      <xdr:row>5</xdr:row>
      <xdr:rowOff>152400</xdr:rowOff>
    </xdr:from>
    <xdr:to>
      <xdr:col>11</xdr:col>
      <xdr:colOff>276225</xdr:colOff>
      <xdr:row>5</xdr:row>
      <xdr:rowOff>152400</xdr:rowOff>
    </xdr:to>
    <xdr:sp macro="" textlink="">
      <xdr:nvSpPr>
        <xdr:cNvPr id="18" name="Line 33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>
          <a:spLocks noChangeShapeType="1"/>
        </xdr:cNvSpPr>
      </xdr:nvSpPr>
      <xdr:spPr bwMode="auto">
        <a:xfrm flipH="1" flipV="1">
          <a:off x="3933825" y="120015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7"/>
  <sheetViews>
    <sheetView showGridLines="0" zoomScale="85" zoomScaleNormal="85" workbookViewId="0">
      <selection activeCell="H11" sqref="H11"/>
    </sheetView>
  </sheetViews>
  <sheetFormatPr defaultRowHeight="12.75" x14ac:dyDescent="0.2"/>
  <cols>
    <col min="1" max="1" width="8.140625" customWidth="1"/>
    <col min="2" max="2" width="3" customWidth="1"/>
    <col min="3" max="3" width="7.85546875" customWidth="1"/>
    <col min="4" max="4" width="9" customWidth="1"/>
    <col min="5" max="5" width="3" customWidth="1"/>
    <col min="6" max="6" width="7.7109375" customWidth="1"/>
    <col min="7" max="7" width="2.5703125" customWidth="1"/>
    <col min="8" max="8" width="7.140625" customWidth="1"/>
    <col min="9" max="9" width="4.140625" customWidth="1"/>
    <col min="10" max="10" width="4" customWidth="1"/>
    <col min="11" max="11" width="2.5703125" customWidth="1"/>
    <col min="12" max="12" width="4.140625" bestFit="1" customWidth="1"/>
    <col min="13" max="13" width="1.5703125" customWidth="1"/>
    <col min="14" max="14" width="4.42578125" customWidth="1"/>
    <col min="15" max="15" width="1.42578125" customWidth="1"/>
    <col min="16" max="16" width="3.5703125" customWidth="1"/>
    <col min="17" max="17" width="1.5703125" customWidth="1"/>
    <col min="18" max="18" width="3.42578125" style="34" customWidth="1"/>
    <col min="19" max="19" width="14.42578125" customWidth="1"/>
    <col min="20" max="20" width="10.28515625" bestFit="1" customWidth="1"/>
    <col min="21" max="22" width="0" hidden="1" customWidth="1"/>
  </cols>
  <sheetData>
    <row r="1" spans="2:24" ht="30.75" customHeight="1" thickBot="1" x14ac:dyDescent="0.35">
      <c r="B1" s="189" t="s">
        <v>71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</row>
    <row r="2" spans="2:24" ht="13.5" thickTop="1" x14ac:dyDescent="0.2"/>
    <row r="3" spans="2:24" x14ac:dyDescent="0.2">
      <c r="B3" s="190" t="s">
        <v>19</v>
      </c>
      <c r="C3" s="190"/>
      <c r="D3" s="190"/>
      <c r="E3" s="190"/>
      <c r="F3" s="190"/>
      <c r="G3" s="190"/>
      <c r="K3" s="190"/>
      <c r="L3" s="190"/>
    </row>
    <row r="4" spans="2:24" x14ac:dyDescent="0.2">
      <c r="D4" s="1"/>
      <c r="I4" s="191">
        <v>1500</v>
      </c>
      <c r="J4" s="191"/>
      <c r="K4" s="191"/>
      <c r="L4" s="24"/>
      <c r="M4" s="25"/>
      <c r="N4" s="190" t="s">
        <v>0</v>
      </c>
      <c r="O4" s="190"/>
      <c r="P4" s="190"/>
      <c r="Q4" s="190"/>
      <c r="R4" s="190"/>
    </row>
    <row r="5" spans="2:24" x14ac:dyDescent="0.2">
      <c r="D5" s="2"/>
      <c r="I5" s="143"/>
      <c r="J5" s="60"/>
      <c r="K5" s="60"/>
      <c r="L5" s="14"/>
      <c r="M5" s="25"/>
      <c r="N5" s="25"/>
      <c r="O5" s="25"/>
      <c r="P5" s="25"/>
      <c r="Q5" s="25"/>
      <c r="R5" s="35"/>
    </row>
    <row r="6" spans="2:24" x14ac:dyDescent="0.2">
      <c r="D6" s="180">
        <v>1</v>
      </c>
      <c r="E6" s="180"/>
      <c r="I6" s="178">
        <v>1460</v>
      </c>
      <c r="J6" s="178"/>
      <c r="K6" s="178"/>
      <c r="L6" s="14"/>
      <c r="M6" s="25"/>
      <c r="N6" s="177" t="str">
        <f>"Buy "&amp;D6&amp;"  Lot"</f>
        <v>Buy 1  Lot</v>
      </c>
      <c r="O6" s="177"/>
      <c r="P6" s="177"/>
      <c r="Q6" s="177"/>
      <c r="R6" s="177"/>
      <c r="U6" t="s">
        <v>22</v>
      </c>
      <c r="V6">
        <v>10349</v>
      </c>
    </row>
    <row r="7" spans="2:24" x14ac:dyDescent="0.2">
      <c r="D7" s="180"/>
      <c r="E7" s="180"/>
      <c r="I7" s="178"/>
      <c r="J7" s="178"/>
      <c r="K7" s="178"/>
      <c r="L7" s="24"/>
      <c r="M7" s="25"/>
      <c r="N7" s="177"/>
      <c r="O7" s="177"/>
      <c r="P7" s="177"/>
      <c r="Q7" s="177"/>
      <c r="R7" s="177"/>
      <c r="U7" t="s">
        <v>23</v>
      </c>
      <c r="V7" s="43">
        <f>V6-S21</f>
        <v>-7651</v>
      </c>
    </row>
    <row r="8" spans="2:24" x14ac:dyDescent="0.2">
      <c r="D8" s="180">
        <v>1</v>
      </c>
      <c r="E8" s="180"/>
      <c r="I8" s="178">
        <v>1440</v>
      </c>
      <c r="J8" s="178"/>
      <c r="K8" s="178"/>
      <c r="L8" s="14"/>
      <c r="M8" s="25"/>
      <c r="N8" s="177" t="str">
        <f>"Buy "&amp;D8&amp;"  Lot"</f>
        <v>Buy 1  Lot</v>
      </c>
      <c r="O8" s="177"/>
      <c r="P8" s="177"/>
      <c r="Q8" s="177"/>
      <c r="R8" s="177"/>
      <c r="T8" s="42"/>
      <c r="U8" t="s">
        <v>24</v>
      </c>
      <c r="V8" t="e">
        <f>#REF!*1000</f>
        <v>#REF!</v>
      </c>
    </row>
    <row r="9" spans="2:24" x14ac:dyDescent="0.2">
      <c r="D9" s="180"/>
      <c r="E9" s="180"/>
      <c r="I9" s="178"/>
      <c r="J9" s="178"/>
      <c r="K9" s="178"/>
      <c r="L9" s="24"/>
      <c r="M9" s="25"/>
      <c r="N9" s="177"/>
      <c r="O9" s="177"/>
      <c r="P9" s="177"/>
      <c r="Q9" s="177"/>
      <c r="R9" s="177"/>
      <c r="S9" s="58"/>
      <c r="U9" t="s">
        <v>25</v>
      </c>
      <c r="V9" s="43" t="e">
        <f>V7-V8</f>
        <v>#REF!</v>
      </c>
    </row>
    <row r="10" spans="2:24" x14ac:dyDescent="0.2">
      <c r="D10" s="177">
        <v>2</v>
      </c>
      <c r="E10" s="177"/>
      <c r="I10" s="178">
        <v>1400</v>
      </c>
      <c r="J10" s="178"/>
      <c r="K10" s="178"/>
      <c r="L10" s="14"/>
      <c r="M10" s="25"/>
      <c r="N10" s="177" t="str">
        <f>"Buy "&amp;D10&amp;"  Lot"</f>
        <v>Buy 2  Lot</v>
      </c>
      <c r="O10" s="177"/>
      <c r="P10" s="177"/>
      <c r="Q10" s="177"/>
      <c r="R10" s="177"/>
    </row>
    <row r="11" spans="2:24" x14ac:dyDescent="0.2">
      <c r="D11" s="177"/>
      <c r="E11" s="177"/>
      <c r="I11" s="178"/>
      <c r="J11" s="178"/>
      <c r="K11" s="178"/>
      <c r="L11" s="24"/>
      <c r="M11" s="25"/>
      <c r="N11" s="177"/>
      <c r="O11" s="177"/>
      <c r="P11" s="177"/>
      <c r="Q11" s="177"/>
      <c r="R11" s="177"/>
    </row>
    <row r="12" spans="2:24" x14ac:dyDescent="0.2">
      <c r="D12" s="179">
        <f>SUM(D6:D11)</f>
        <v>4</v>
      </c>
      <c r="E12" s="179"/>
      <c r="I12" s="185">
        <v>1380</v>
      </c>
      <c r="J12" s="185"/>
      <c r="K12" s="185"/>
      <c r="N12" s="177" t="s">
        <v>65</v>
      </c>
      <c r="O12" s="177"/>
      <c r="P12" s="177"/>
      <c r="Q12" s="177"/>
      <c r="R12" s="177"/>
      <c r="S12" s="59"/>
    </row>
    <row r="13" spans="2:24" ht="15.75" x14ac:dyDescent="0.25">
      <c r="C13" s="186" t="s">
        <v>32</v>
      </c>
      <c r="D13" s="187"/>
      <c r="E13" s="187"/>
      <c r="F13" s="188"/>
      <c r="I13" s="185"/>
      <c r="J13" s="185"/>
      <c r="K13" s="185"/>
      <c r="N13" s="177"/>
      <c r="O13" s="177"/>
      <c r="P13" s="177"/>
      <c r="Q13" s="177"/>
      <c r="R13" s="177"/>
    </row>
    <row r="14" spans="2:24" ht="13.5" thickBot="1" x14ac:dyDescent="0.25"/>
    <row r="15" spans="2:24" ht="18.75" thickBot="1" x14ac:dyDescent="0.3">
      <c r="B15" s="181" t="s">
        <v>20</v>
      </c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3" t="s">
        <v>21</v>
      </c>
      <c r="S15" s="184"/>
      <c r="T15" s="70">
        <v>40</v>
      </c>
      <c r="X15" s="74"/>
    </row>
    <row r="16" spans="2:24" x14ac:dyDescent="0.2">
      <c r="B16" s="44"/>
      <c r="C16" s="45"/>
      <c r="D16" s="45"/>
      <c r="E16" s="45"/>
      <c r="F16" s="45"/>
      <c r="G16" s="45"/>
      <c r="H16" s="45"/>
      <c r="I16" s="45"/>
      <c r="J16" s="45"/>
      <c r="K16" s="45"/>
      <c r="L16" s="46"/>
      <c r="M16" s="45"/>
      <c r="N16" s="45"/>
      <c r="O16" s="45"/>
      <c r="P16" s="45"/>
      <c r="Q16" s="45"/>
      <c r="R16" s="36"/>
      <c r="S16" s="30"/>
    </row>
    <row r="17" spans="2:31" x14ac:dyDescent="0.2">
      <c r="B17" s="15" t="s">
        <v>15</v>
      </c>
      <c r="C17" s="14" t="s">
        <v>1</v>
      </c>
      <c r="D17" s="2"/>
      <c r="E17" s="64"/>
      <c r="F17" s="2"/>
      <c r="G17" s="2"/>
      <c r="H17" s="2"/>
      <c r="I17" s="2"/>
      <c r="J17" s="2"/>
      <c r="K17" s="2"/>
      <c r="L17" s="39"/>
      <c r="M17" s="2"/>
      <c r="N17" s="2"/>
      <c r="O17" s="2"/>
      <c r="P17" s="2"/>
      <c r="Q17" s="2"/>
      <c r="R17" s="33"/>
      <c r="S17" s="3"/>
      <c r="AE17" t="s">
        <v>64</v>
      </c>
    </row>
    <row r="18" spans="2:31" ht="15.75" x14ac:dyDescent="0.25">
      <c r="B18" s="15"/>
      <c r="C18" s="2" t="s">
        <v>2</v>
      </c>
      <c r="D18" s="4">
        <f>I6</f>
        <v>1460</v>
      </c>
      <c r="E18" s="65" t="s">
        <v>5</v>
      </c>
      <c r="F18" s="4">
        <f>I12</f>
        <v>1380</v>
      </c>
      <c r="G18" s="5" t="s">
        <v>6</v>
      </c>
      <c r="H18" s="2">
        <f>D18-F18</f>
        <v>80</v>
      </c>
      <c r="I18" s="2" t="s">
        <v>7</v>
      </c>
      <c r="J18" s="2" t="s">
        <v>8</v>
      </c>
      <c r="K18" s="6" t="s">
        <v>9</v>
      </c>
      <c r="L18" s="39">
        <v>100</v>
      </c>
      <c r="M18" s="2" t="s">
        <v>8</v>
      </c>
      <c r="N18" s="29">
        <f>D6</f>
        <v>1</v>
      </c>
      <c r="O18" s="2" t="s">
        <v>10</v>
      </c>
      <c r="P18" s="5"/>
      <c r="Q18" s="6"/>
      <c r="R18" s="31" t="s">
        <v>9</v>
      </c>
      <c r="S18" s="56">
        <f>H18*L18*N18</f>
        <v>8000</v>
      </c>
    </row>
    <row r="19" spans="2:31" ht="15.75" x14ac:dyDescent="0.25">
      <c r="B19" s="15"/>
      <c r="C19" s="2" t="s">
        <v>3</v>
      </c>
      <c r="D19" s="4">
        <f>I8</f>
        <v>1440</v>
      </c>
      <c r="E19" s="65" t="s">
        <v>5</v>
      </c>
      <c r="F19" s="4">
        <f>I12</f>
        <v>1380</v>
      </c>
      <c r="G19" s="5" t="s">
        <v>6</v>
      </c>
      <c r="H19" s="2">
        <f>D19-F19</f>
        <v>60</v>
      </c>
      <c r="I19" s="2" t="s">
        <v>7</v>
      </c>
      <c r="J19" s="2" t="s">
        <v>8</v>
      </c>
      <c r="K19" s="6" t="s">
        <v>9</v>
      </c>
      <c r="L19" s="39">
        <v>100</v>
      </c>
      <c r="M19" s="2" t="s">
        <v>8</v>
      </c>
      <c r="N19" s="29">
        <f>D8</f>
        <v>1</v>
      </c>
      <c r="O19" s="2" t="s">
        <v>10</v>
      </c>
      <c r="P19" s="5"/>
      <c r="Q19" s="6"/>
      <c r="R19" s="31" t="s">
        <v>9</v>
      </c>
      <c r="S19" s="56">
        <f>H19*L19*N19</f>
        <v>6000</v>
      </c>
    </row>
    <row r="20" spans="2:31" ht="16.5" thickBot="1" x14ac:dyDescent="0.3">
      <c r="B20" s="15"/>
      <c r="C20" s="2" t="s">
        <v>4</v>
      </c>
      <c r="D20" s="4">
        <f>I10</f>
        <v>1400</v>
      </c>
      <c r="E20" s="65" t="s">
        <v>5</v>
      </c>
      <c r="F20" s="4">
        <f>I12</f>
        <v>1380</v>
      </c>
      <c r="G20" s="5" t="s">
        <v>6</v>
      </c>
      <c r="H20" s="2">
        <f>D20-F20</f>
        <v>20</v>
      </c>
      <c r="I20" s="2" t="s">
        <v>7</v>
      </c>
      <c r="J20" s="2" t="s">
        <v>8</v>
      </c>
      <c r="K20" s="6" t="s">
        <v>9</v>
      </c>
      <c r="L20" s="39">
        <v>100</v>
      </c>
      <c r="M20" s="2" t="s">
        <v>8</v>
      </c>
      <c r="N20" s="29">
        <f>D10</f>
        <v>2</v>
      </c>
      <c r="O20" s="2" t="s">
        <v>10</v>
      </c>
      <c r="P20" s="5"/>
      <c r="Q20" s="6"/>
      <c r="R20" s="31" t="s">
        <v>9</v>
      </c>
      <c r="S20" s="56">
        <f>H20*L20*N20</f>
        <v>4000</v>
      </c>
      <c r="T20" s="41"/>
    </row>
    <row r="21" spans="2:31" ht="16.5" thickBot="1" x14ac:dyDescent="0.3">
      <c r="B21" s="15"/>
      <c r="C21" s="14" t="s">
        <v>11</v>
      </c>
      <c r="D21" s="2"/>
      <c r="E21" s="64"/>
      <c r="F21" s="2"/>
      <c r="G21" s="2"/>
      <c r="H21" s="2"/>
      <c r="I21" s="2"/>
      <c r="J21" s="2"/>
      <c r="K21" s="2"/>
      <c r="L21" s="39"/>
      <c r="M21" s="2"/>
      <c r="N21" s="39"/>
      <c r="O21" s="2"/>
      <c r="P21" s="5"/>
      <c r="Q21" s="55"/>
      <c r="R21" s="54" t="s">
        <v>9</v>
      </c>
      <c r="S21" s="57">
        <f>SUM(S18:S20)</f>
        <v>18000</v>
      </c>
    </row>
    <row r="22" spans="2:31" ht="15" x14ac:dyDescent="0.2">
      <c r="B22" s="15"/>
      <c r="C22" s="2"/>
      <c r="D22" s="2"/>
      <c r="E22" s="64"/>
      <c r="F22" s="2"/>
      <c r="G22" s="2"/>
      <c r="H22" s="2"/>
      <c r="I22" s="2"/>
      <c r="J22" s="2"/>
      <c r="K22" s="2"/>
      <c r="L22" s="39"/>
      <c r="M22" s="2"/>
      <c r="N22" s="39"/>
      <c r="O22" s="2"/>
      <c r="P22" s="5"/>
      <c r="Q22" s="6"/>
      <c r="R22" s="33"/>
      <c r="S22" s="21"/>
    </row>
    <row r="23" spans="2:31" ht="15" x14ac:dyDescent="0.2">
      <c r="B23" s="15" t="s">
        <v>16</v>
      </c>
      <c r="C23" s="14" t="s">
        <v>14</v>
      </c>
      <c r="D23" s="2"/>
      <c r="E23" s="64"/>
      <c r="F23" s="2"/>
      <c r="G23" s="2"/>
      <c r="H23" s="2"/>
      <c r="I23" s="2"/>
      <c r="J23" s="2"/>
      <c r="K23" s="2"/>
      <c r="L23" s="39"/>
      <c r="M23" s="2"/>
      <c r="N23" s="39"/>
      <c r="O23" s="2"/>
      <c r="P23" s="5"/>
      <c r="Q23" s="6"/>
      <c r="R23" s="33"/>
      <c r="S23" s="21"/>
    </row>
    <row r="24" spans="2:31" ht="15.75" x14ac:dyDescent="0.25">
      <c r="B24" s="15"/>
      <c r="C24" s="2" t="s">
        <v>2</v>
      </c>
      <c r="D24" s="63">
        <f>I4</f>
        <v>1500</v>
      </c>
      <c r="E24" s="65" t="s">
        <v>5</v>
      </c>
      <c r="F24" s="29">
        <f>I6</f>
        <v>1460</v>
      </c>
      <c r="G24" s="5" t="s">
        <v>6</v>
      </c>
      <c r="H24" s="1">
        <f>D24-F24</f>
        <v>40</v>
      </c>
      <c r="I24" s="1" t="s">
        <v>7</v>
      </c>
      <c r="J24" s="11" t="s">
        <v>8</v>
      </c>
      <c r="K24" s="27" t="s">
        <v>9</v>
      </c>
      <c r="L24" s="39">
        <v>100</v>
      </c>
      <c r="M24" s="11" t="s">
        <v>8</v>
      </c>
      <c r="N24" s="29">
        <f>D6</f>
        <v>1</v>
      </c>
      <c r="O24" s="11" t="s">
        <v>10</v>
      </c>
      <c r="P24" s="5"/>
      <c r="Q24" s="2"/>
      <c r="R24" s="31" t="s">
        <v>9</v>
      </c>
      <c r="S24" s="40">
        <f>H24*L24*N24</f>
        <v>4000</v>
      </c>
    </row>
    <row r="25" spans="2:31" ht="15.75" x14ac:dyDescent="0.25">
      <c r="B25" s="15"/>
      <c r="C25" s="2" t="s">
        <v>3</v>
      </c>
      <c r="D25" s="63">
        <f>I4</f>
        <v>1500</v>
      </c>
      <c r="E25" s="65" t="s">
        <v>5</v>
      </c>
      <c r="F25" s="29">
        <f>I8</f>
        <v>1440</v>
      </c>
      <c r="G25" s="5" t="s">
        <v>6</v>
      </c>
      <c r="H25" s="1">
        <f>D25-F25</f>
        <v>60</v>
      </c>
      <c r="I25" s="1" t="s">
        <v>7</v>
      </c>
      <c r="J25" s="11" t="s">
        <v>8</v>
      </c>
      <c r="K25" s="27" t="s">
        <v>9</v>
      </c>
      <c r="L25" s="39">
        <v>100</v>
      </c>
      <c r="M25" s="11" t="s">
        <v>8</v>
      </c>
      <c r="N25" s="29">
        <f>D8</f>
        <v>1</v>
      </c>
      <c r="O25" s="11" t="s">
        <v>10</v>
      </c>
      <c r="P25" s="5"/>
      <c r="Q25" s="2"/>
      <c r="R25" s="31" t="s">
        <v>9</v>
      </c>
      <c r="S25" s="20">
        <f>H25*L25*N25</f>
        <v>6000</v>
      </c>
    </row>
    <row r="26" spans="2:31" ht="16.5" thickBot="1" x14ac:dyDescent="0.3">
      <c r="B26" s="15"/>
      <c r="C26" s="2" t="s">
        <v>4</v>
      </c>
      <c r="D26" s="63">
        <f>I4</f>
        <v>1500</v>
      </c>
      <c r="E26" s="65" t="s">
        <v>5</v>
      </c>
      <c r="F26" s="29">
        <f>I10</f>
        <v>1400</v>
      </c>
      <c r="G26" s="5" t="s">
        <v>6</v>
      </c>
      <c r="H26" s="1">
        <f>D26-F26</f>
        <v>100</v>
      </c>
      <c r="I26" s="1" t="s">
        <v>7</v>
      </c>
      <c r="J26" s="11" t="s">
        <v>8</v>
      </c>
      <c r="K26" s="27" t="s">
        <v>9</v>
      </c>
      <c r="L26" s="39">
        <v>100</v>
      </c>
      <c r="M26" s="11" t="s">
        <v>8</v>
      </c>
      <c r="N26" s="29">
        <f>D10</f>
        <v>2</v>
      </c>
      <c r="O26" s="11" t="s">
        <v>10</v>
      </c>
      <c r="P26" s="5"/>
      <c r="Q26" s="2"/>
      <c r="R26" s="31" t="s">
        <v>9</v>
      </c>
      <c r="S26" s="20">
        <f>H26*L26*N26</f>
        <v>20000</v>
      </c>
    </row>
    <row r="27" spans="2:31" ht="16.5" thickBot="1" x14ac:dyDescent="0.3">
      <c r="B27" s="15"/>
      <c r="C27" s="14" t="s">
        <v>12</v>
      </c>
      <c r="D27" s="1"/>
      <c r="E27" s="2"/>
      <c r="F27" s="1"/>
      <c r="G27" s="5"/>
      <c r="H27" s="1"/>
      <c r="I27" s="1"/>
      <c r="J27" s="11"/>
      <c r="K27" s="11"/>
      <c r="L27" s="2"/>
      <c r="M27" s="11"/>
      <c r="N27" s="2"/>
      <c r="O27" s="11"/>
      <c r="P27" s="5"/>
      <c r="Q27" s="2"/>
      <c r="R27" s="32" t="s">
        <v>9</v>
      </c>
      <c r="S27" s="19">
        <f>SUM(S24:S26)</f>
        <v>30000</v>
      </c>
    </row>
    <row r="28" spans="2:31" ht="15.75" x14ac:dyDescent="0.25">
      <c r="B28" s="15"/>
      <c r="C28" s="2"/>
      <c r="D28" s="1"/>
      <c r="E28" s="2"/>
      <c r="F28" s="1"/>
      <c r="G28" s="5"/>
      <c r="H28" s="1"/>
      <c r="I28" s="1"/>
      <c r="J28" s="11"/>
      <c r="K28" s="11"/>
      <c r="L28" s="2"/>
      <c r="M28" s="11"/>
      <c r="N28" s="2"/>
      <c r="O28" s="11"/>
      <c r="P28" s="5"/>
      <c r="Q28" s="2"/>
      <c r="R28" s="31"/>
      <c r="S28" s="20"/>
    </row>
    <row r="29" spans="2:31" ht="15.75" x14ac:dyDescent="0.25">
      <c r="B29" s="15" t="s">
        <v>17</v>
      </c>
      <c r="C29" s="16" t="s">
        <v>18</v>
      </c>
      <c r="D29" s="1"/>
      <c r="E29" s="2"/>
      <c r="F29" s="1"/>
      <c r="G29" s="5"/>
      <c r="H29" s="1"/>
      <c r="I29" s="1"/>
      <c r="J29" s="11"/>
      <c r="K29" s="11"/>
      <c r="L29" s="2"/>
      <c r="M29" s="11"/>
      <c r="N29" s="2"/>
      <c r="O29" s="11"/>
      <c r="P29" s="5"/>
      <c r="Q29" s="2"/>
      <c r="R29" s="31"/>
      <c r="S29" s="20"/>
    </row>
    <row r="30" spans="2:31" ht="15.75" x14ac:dyDescent="0.25">
      <c r="B30" s="15"/>
      <c r="C30" s="2" t="s">
        <v>29</v>
      </c>
      <c r="D30" s="2"/>
      <c r="E30" s="2"/>
      <c r="F30" s="2"/>
      <c r="G30" s="175">
        <v>2000</v>
      </c>
      <c r="H30" s="175"/>
      <c r="I30" s="28"/>
      <c r="J30" s="2"/>
      <c r="K30" s="2"/>
      <c r="L30" s="2"/>
      <c r="M30" s="2"/>
      <c r="N30" s="2"/>
      <c r="O30" s="2"/>
      <c r="P30" s="2"/>
      <c r="Q30" s="2"/>
      <c r="R30" s="31"/>
      <c r="S30" s="22"/>
    </row>
    <row r="31" spans="2:31" ht="15.75" x14ac:dyDescent="0.25">
      <c r="B31" s="15"/>
      <c r="C31" s="2" t="str">
        <f>"Total Lot yang diperdagangkan "&amp;D12&amp;" Lot"</f>
        <v>Total Lot yang diperdagangkan 4 Lot</v>
      </c>
      <c r="D31" s="2"/>
      <c r="E31" s="2"/>
      <c r="F31" s="2"/>
      <c r="G31" s="2"/>
      <c r="H31" s="29"/>
      <c r="I31" s="8"/>
      <c r="J31" s="2"/>
      <c r="K31" s="2"/>
      <c r="L31" s="2"/>
      <c r="M31" s="2"/>
      <c r="N31" s="2"/>
      <c r="O31" s="2"/>
      <c r="P31" s="2"/>
      <c r="Q31" s="2"/>
      <c r="R31" s="31"/>
      <c r="S31" s="22"/>
    </row>
    <row r="32" spans="2:31" ht="15.75" x14ac:dyDescent="0.25">
      <c r="B32" s="15"/>
      <c r="C32" s="2" t="str">
        <f>"Maka jaminan yang dibutuhkan  :  $. 2.000 * "&amp;D14&amp;" Lot"</f>
        <v>Maka jaminan yang dibutuhkan  :  $. 2.000 *  Lot</v>
      </c>
      <c r="D32" s="2"/>
      <c r="E32" s="2"/>
      <c r="F32" s="2"/>
      <c r="G32" s="2"/>
      <c r="H32" s="2"/>
      <c r="I32" s="1"/>
      <c r="J32" s="2"/>
      <c r="K32" s="1"/>
      <c r="L32" s="1"/>
      <c r="M32" s="2"/>
      <c r="N32" s="2"/>
      <c r="O32" s="2"/>
      <c r="P32" s="5"/>
      <c r="Q32" s="5"/>
      <c r="R32" s="37" t="s">
        <v>9</v>
      </c>
      <c r="S32" s="20">
        <f>D12*G30</f>
        <v>8000</v>
      </c>
    </row>
    <row r="33" spans="2:19" ht="15.75" x14ac:dyDescent="0.25">
      <c r="B33" s="1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1"/>
      <c r="S33" s="22"/>
    </row>
    <row r="34" spans="2:19" ht="15.75" x14ac:dyDescent="0.25">
      <c r="B34" s="15"/>
      <c r="C34" s="16" t="s">
        <v>1</v>
      </c>
      <c r="D34" s="2"/>
      <c r="E34" s="2"/>
      <c r="F34" s="2"/>
      <c r="G34" s="2"/>
      <c r="H34" s="6"/>
      <c r="I34" s="2"/>
      <c r="J34" s="2"/>
      <c r="K34" s="9"/>
      <c r="L34" s="9"/>
      <c r="M34" s="2"/>
      <c r="N34" s="6"/>
      <c r="O34" s="7"/>
      <c r="P34" s="5"/>
      <c r="Q34" s="2"/>
      <c r="R34" s="31" t="s">
        <v>9</v>
      </c>
      <c r="S34" s="23">
        <f>S21</f>
        <v>18000</v>
      </c>
    </row>
    <row r="35" spans="2:19" ht="16.5" thickBot="1" x14ac:dyDescent="0.3">
      <c r="B35" s="47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9"/>
      <c r="O35" s="50"/>
      <c r="P35" s="51"/>
      <c r="Q35" s="51"/>
      <c r="R35" s="52"/>
      <c r="S35" s="53"/>
    </row>
    <row r="36" spans="2:19" ht="16.5" thickBot="1" x14ac:dyDescent="0.25">
      <c r="B36" s="10"/>
      <c r="C36" s="17" t="s">
        <v>13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38" t="s">
        <v>9</v>
      </c>
      <c r="S36" s="26">
        <f>S32+S34</f>
        <v>26000</v>
      </c>
    </row>
    <row r="37" spans="2:19" ht="45" customHeight="1" x14ac:dyDescent="0.2">
      <c r="B37" s="176">
        <f ca="1">TODAY()</f>
        <v>44518</v>
      </c>
      <c r="C37" s="176"/>
    </row>
  </sheetData>
  <mergeCells count="22">
    <mergeCell ref="B1:S1"/>
    <mergeCell ref="B3:G3"/>
    <mergeCell ref="K3:L3"/>
    <mergeCell ref="I4:K4"/>
    <mergeCell ref="N4:R4"/>
    <mergeCell ref="D6:E7"/>
    <mergeCell ref="I6:K7"/>
    <mergeCell ref="B15:Q15"/>
    <mergeCell ref="R15:S15"/>
    <mergeCell ref="I8:K9"/>
    <mergeCell ref="N8:R9"/>
    <mergeCell ref="N6:R7"/>
    <mergeCell ref="D8:E9"/>
    <mergeCell ref="I12:K13"/>
    <mergeCell ref="N12:R13"/>
    <mergeCell ref="C13:F13"/>
    <mergeCell ref="G30:H30"/>
    <mergeCell ref="B37:C37"/>
    <mergeCell ref="D10:E11"/>
    <mergeCell ref="I10:K11"/>
    <mergeCell ref="N10:R11"/>
    <mergeCell ref="D12:E12"/>
  </mergeCells>
  <phoneticPr fontId="2" type="noConversion"/>
  <pageMargins left="0.75" right="0.75" top="1" bottom="1" header="0.5" footer="0.5"/>
  <pageSetup paperSize="9" scale="9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4"/>
  <sheetViews>
    <sheetView showGridLines="0" tabSelected="1" topLeftCell="A4" zoomScale="80" zoomScaleNormal="80" workbookViewId="0">
      <selection activeCell="I15" sqref="I15"/>
    </sheetView>
  </sheetViews>
  <sheetFormatPr defaultRowHeight="12.75" x14ac:dyDescent="0.2"/>
  <cols>
    <col min="1" max="1" width="8.140625" customWidth="1"/>
    <col min="2" max="2" width="3" customWidth="1"/>
    <col min="3" max="3" width="9.42578125" customWidth="1"/>
    <col min="4" max="4" width="9" customWidth="1"/>
    <col min="5" max="5" width="3" customWidth="1"/>
    <col min="6" max="6" width="7.42578125" bestFit="1" customWidth="1"/>
    <col min="7" max="7" width="2" customWidth="1"/>
    <col min="8" max="8" width="5.140625" customWidth="1"/>
    <col min="9" max="9" width="4.140625" customWidth="1"/>
    <col min="10" max="10" width="1.7109375" customWidth="1"/>
    <col min="11" max="11" width="2.5703125" customWidth="1"/>
    <col min="12" max="12" width="4.42578125" bestFit="1" customWidth="1"/>
    <col min="13" max="13" width="1.5703125" customWidth="1"/>
    <col min="14" max="14" width="4.42578125" customWidth="1"/>
    <col min="15" max="15" width="1.42578125" customWidth="1"/>
    <col min="16" max="16" width="3.5703125" customWidth="1"/>
    <col min="17" max="17" width="1.5703125" customWidth="1"/>
    <col min="18" max="18" width="3.42578125" style="34" customWidth="1"/>
    <col min="19" max="19" width="13" bestFit="1" customWidth="1"/>
    <col min="20" max="20" width="10.28515625" bestFit="1" customWidth="1"/>
    <col min="21" max="22" width="0" hidden="1" customWidth="1"/>
  </cols>
  <sheetData>
    <row r="1" spans="2:26" ht="21" thickBot="1" x14ac:dyDescent="0.35">
      <c r="B1" s="189" t="s">
        <v>72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</row>
    <row r="2" spans="2:26" ht="13.5" thickTop="1" x14ac:dyDescent="0.2"/>
    <row r="3" spans="2:26" x14ac:dyDescent="0.2">
      <c r="B3" s="190" t="s">
        <v>19</v>
      </c>
      <c r="C3" s="190"/>
      <c r="D3" s="190"/>
      <c r="E3" s="190"/>
      <c r="F3" s="190"/>
      <c r="G3" s="190"/>
      <c r="K3" s="190"/>
      <c r="L3" s="190"/>
    </row>
    <row r="4" spans="2:26" x14ac:dyDescent="0.2">
      <c r="D4" s="1"/>
      <c r="I4" s="203">
        <v>1900</v>
      </c>
      <c r="J4" s="203"/>
      <c r="K4" s="203"/>
      <c r="L4" s="24"/>
      <c r="M4" s="25"/>
      <c r="N4" s="25" t="s">
        <v>0</v>
      </c>
      <c r="R4" s="35"/>
    </row>
    <row r="5" spans="2:26" x14ac:dyDescent="0.2">
      <c r="D5" s="2"/>
      <c r="I5" s="60"/>
      <c r="J5" s="60"/>
      <c r="K5" s="60"/>
      <c r="L5" s="14"/>
      <c r="M5" s="25"/>
      <c r="N5" s="25"/>
      <c r="O5" s="25"/>
      <c r="P5" s="25"/>
      <c r="Q5" s="25"/>
      <c r="R5" s="35"/>
    </row>
    <row r="6" spans="2:26" x14ac:dyDescent="0.2">
      <c r="D6" s="180">
        <v>2</v>
      </c>
      <c r="E6" s="180"/>
      <c r="I6" s="204">
        <v>1800</v>
      </c>
      <c r="J6" s="204"/>
      <c r="K6" s="204"/>
      <c r="L6" s="14"/>
      <c r="M6" s="25"/>
      <c r="N6" s="196" t="str">
        <f>" Buy "&amp;D6&amp;" Lot"</f>
        <v xml:space="preserve"> Buy 2 Lot</v>
      </c>
      <c r="O6" s="196"/>
      <c r="P6" s="196"/>
      <c r="Q6" s="196"/>
      <c r="R6" s="196"/>
      <c r="U6" t="s">
        <v>22</v>
      </c>
      <c r="V6">
        <v>10349</v>
      </c>
    </row>
    <row r="7" spans="2:26" x14ac:dyDescent="0.2">
      <c r="D7" s="180"/>
      <c r="E7" s="180"/>
      <c r="I7" s="204"/>
      <c r="J7" s="204"/>
      <c r="K7" s="204"/>
      <c r="L7" s="24"/>
      <c r="M7" s="25"/>
      <c r="N7" s="196"/>
      <c r="O7" s="196"/>
      <c r="P7" s="196"/>
      <c r="Q7" s="196"/>
      <c r="R7" s="196"/>
      <c r="U7" t="s">
        <v>23</v>
      </c>
      <c r="V7" s="43">
        <f>V6-S24</f>
        <v>-145651</v>
      </c>
    </row>
    <row r="8" spans="2:26" x14ac:dyDescent="0.2">
      <c r="D8" s="180">
        <v>4</v>
      </c>
      <c r="E8" s="180"/>
      <c r="I8" s="204">
        <v>1790</v>
      </c>
      <c r="J8" s="204"/>
      <c r="K8" s="204"/>
      <c r="L8" s="24"/>
      <c r="M8" s="25"/>
      <c r="N8" s="196" t="str">
        <f>" Buy "&amp;D8&amp;" Lot"</f>
        <v xml:space="preserve"> Buy 4 Lot</v>
      </c>
      <c r="O8" s="196"/>
      <c r="P8" s="196"/>
      <c r="Q8" s="196"/>
      <c r="R8" s="196"/>
      <c r="V8" s="43"/>
    </row>
    <row r="9" spans="2:26" x14ac:dyDescent="0.2">
      <c r="D9" s="180"/>
      <c r="E9" s="180"/>
      <c r="I9" s="204"/>
      <c r="J9" s="204"/>
      <c r="K9" s="204"/>
      <c r="L9" s="24"/>
      <c r="M9" s="25"/>
      <c r="N9" s="196"/>
      <c r="O9" s="196"/>
      <c r="P9" s="196"/>
      <c r="Q9" s="196"/>
      <c r="R9" s="196"/>
      <c r="V9" s="43"/>
    </row>
    <row r="10" spans="2:26" x14ac:dyDescent="0.2">
      <c r="D10" s="180">
        <v>8</v>
      </c>
      <c r="E10" s="180"/>
      <c r="I10" s="204">
        <v>1780</v>
      </c>
      <c r="J10" s="204"/>
      <c r="K10" s="204"/>
      <c r="L10" s="14"/>
      <c r="M10" s="25"/>
      <c r="N10" s="196" t="str">
        <f>" Buy "&amp;D10&amp;" Lot"</f>
        <v xml:space="preserve"> Buy 8 Lot</v>
      </c>
      <c r="O10" s="196"/>
      <c r="P10" s="196"/>
      <c r="Q10" s="196"/>
      <c r="R10" s="196"/>
      <c r="T10" s="42"/>
      <c r="U10" t="s">
        <v>24</v>
      </c>
      <c r="V10" t="e">
        <f>#REF!*1000</f>
        <v>#REF!</v>
      </c>
    </row>
    <row r="11" spans="2:26" x14ac:dyDescent="0.2">
      <c r="D11" s="180"/>
      <c r="E11" s="180"/>
      <c r="I11" s="204"/>
      <c r="J11" s="204"/>
      <c r="K11" s="204"/>
      <c r="L11" s="24"/>
      <c r="M11" s="25"/>
      <c r="N11" s="196"/>
      <c r="O11" s="196"/>
      <c r="P11" s="196"/>
      <c r="Q11" s="196"/>
      <c r="R11" s="196"/>
      <c r="S11" s="58"/>
      <c r="U11" t="s">
        <v>25</v>
      </c>
      <c r="V11" s="43" t="e">
        <f>V7-V10</f>
        <v>#REF!</v>
      </c>
    </row>
    <row r="12" spans="2:26" x14ac:dyDescent="0.2">
      <c r="D12" s="177">
        <v>16</v>
      </c>
      <c r="E12" s="177"/>
      <c r="I12" s="204">
        <v>1770</v>
      </c>
      <c r="J12" s="204"/>
      <c r="K12" s="204"/>
      <c r="L12" s="14"/>
      <c r="M12" s="25"/>
      <c r="N12" s="196" t="str">
        <f>" Buy "&amp;D12&amp;" Lot"</f>
        <v xml:space="preserve"> Buy 16 Lot</v>
      </c>
      <c r="O12" s="196"/>
      <c r="P12" s="196"/>
      <c r="Q12" s="196"/>
      <c r="R12" s="196"/>
    </row>
    <row r="13" spans="2:26" x14ac:dyDescent="0.2">
      <c r="D13" s="177"/>
      <c r="E13" s="177"/>
      <c r="I13" s="204"/>
      <c r="J13" s="204"/>
      <c r="K13" s="204"/>
      <c r="L13" s="24"/>
      <c r="M13" s="25"/>
      <c r="N13" s="196"/>
      <c r="O13" s="196"/>
      <c r="P13" s="196"/>
      <c r="Q13" s="196"/>
      <c r="R13" s="196"/>
    </row>
    <row r="14" spans="2:26" ht="15.75" x14ac:dyDescent="0.25">
      <c r="C14" s="198">
        <v>4</v>
      </c>
      <c r="D14" s="199"/>
      <c r="E14" s="199"/>
      <c r="F14" s="199"/>
      <c r="I14" s="197">
        <v>1720</v>
      </c>
      <c r="J14" s="197"/>
      <c r="K14" s="197"/>
      <c r="N14" s="196" t="s">
        <v>58</v>
      </c>
      <c r="O14" s="196"/>
      <c r="P14" s="196"/>
      <c r="Q14" s="196"/>
      <c r="R14" s="196"/>
    </row>
    <row r="15" spans="2:26" ht="20.25" x14ac:dyDescent="0.3">
      <c r="C15" s="202" t="s">
        <v>32</v>
      </c>
      <c r="D15" s="202"/>
      <c r="E15" s="202"/>
      <c r="F15" s="202"/>
      <c r="I15" s="155"/>
      <c r="J15" s="155"/>
      <c r="K15" s="155"/>
      <c r="N15" s="154"/>
      <c r="O15" s="154"/>
      <c r="P15" s="154"/>
      <c r="Q15" s="154"/>
      <c r="R15" s="154"/>
      <c r="Z15" t="s">
        <v>64</v>
      </c>
    </row>
    <row r="16" spans="2:26" ht="13.5" thickBot="1" x14ac:dyDescent="0.25"/>
    <row r="17" spans="2:26" ht="18.75" thickBot="1" x14ac:dyDescent="0.3">
      <c r="B17" s="200" t="s">
        <v>20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183" t="s">
        <v>21</v>
      </c>
      <c r="S17" s="184"/>
      <c r="T17" s="70">
        <v>35</v>
      </c>
    </row>
    <row r="18" spans="2:26" x14ac:dyDescent="0.2">
      <c r="B18" s="44"/>
      <c r="C18" s="45"/>
      <c r="D18" s="45"/>
      <c r="E18" s="45"/>
      <c r="F18" s="45"/>
      <c r="G18" s="45"/>
      <c r="H18" s="45"/>
      <c r="I18" s="45"/>
      <c r="J18" s="45"/>
      <c r="K18" s="45"/>
      <c r="L18" s="46"/>
      <c r="M18" s="45"/>
      <c r="N18" s="45"/>
      <c r="O18" s="45"/>
      <c r="P18" s="45"/>
      <c r="Q18" s="45"/>
      <c r="R18" s="36"/>
      <c r="S18" s="30"/>
    </row>
    <row r="19" spans="2:26" x14ac:dyDescent="0.2">
      <c r="B19" s="15" t="s">
        <v>15</v>
      </c>
      <c r="C19" s="14" t="s">
        <v>1</v>
      </c>
      <c r="D19" s="2"/>
      <c r="E19" s="64"/>
      <c r="F19" s="2"/>
      <c r="G19" s="2"/>
      <c r="H19" s="2"/>
      <c r="I19" s="2"/>
      <c r="J19" s="2"/>
      <c r="K19" s="2"/>
      <c r="L19" s="39"/>
      <c r="M19" s="2"/>
      <c r="N19" s="2"/>
      <c r="O19" s="2"/>
      <c r="P19" s="2"/>
      <c r="Q19" s="2"/>
      <c r="R19" s="33"/>
      <c r="S19" s="3"/>
    </row>
    <row r="20" spans="2:26" ht="15.75" x14ac:dyDescent="0.25">
      <c r="B20" s="15"/>
      <c r="C20" s="2" t="s">
        <v>2</v>
      </c>
      <c r="D20" s="171">
        <f>I6</f>
        <v>1800</v>
      </c>
      <c r="E20" s="65" t="s">
        <v>5</v>
      </c>
      <c r="F20" s="4">
        <f>I14</f>
        <v>1720</v>
      </c>
      <c r="G20" s="172" t="s">
        <v>6</v>
      </c>
      <c r="H20" s="173">
        <f>D20-F20</f>
        <v>80</v>
      </c>
      <c r="I20" s="2" t="s">
        <v>7</v>
      </c>
      <c r="J20" s="2" t="s">
        <v>8</v>
      </c>
      <c r="K20" s="6" t="s">
        <v>9</v>
      </c>
      <c r="L20" s="39">
        <v>100</v>
      </c>
      <c r="M20" s="2" t="s">
        <v>8</v>
      </c>
      <c r="N20" s="29">
        <f>D6</f>
        <v>2</v>
      </c>
      <c r="O20" s="2" t="s">
        <v>10</v>
      </c>
      <c r="P20" s="5"/>
      <c r="R20" s="31" t="s">
        <v>9</v>
      </c>
      <c r="S20" s="23">
        <f>H20*L20*N20</f>
        <v>16000</v>
      </c>
      <c r="X20" s="195"/>
      <c r="Y20" s="195"/>
      <c r="Z20" s="195"/>
    </row>
    <row r="21" spans="2:26" ht="15.75" x14ac:dyDescent="0.25">
      <c r="B21" s="15"/>
      <c r="C21" s="157" t="s">
        <v>3</v>
      </c>
      <c r="D21" s="4">
        <f>I8</f>
        <v>1790</v>
      </c>
      <c r="E21" s="65" t="s">
        <v>5</v>
      </c>
      <c r="F21" s="4">
        <f>I14</f>
        <v>1720</v>
      </c>
      <c r="G21" s="5" t="s">
        <v>6</v>
      </c>
      <c r="H21" s="39">
        <f>D21-F22</f>
        <v>70</v>
      </c>
      <c r="I21" s="2" t="s">
        <v>7</v>
      </c>
      <c r="J21" s="2" t="s">
        <v>8</v>
      </c>
      <c r="K21" s="6" t="s">
        <v>9</v>
      </c>
      <c r="L21" s="39">
        <v>100</v>
      </c>
      <c r="M21" s="2" t="s">
        <v>8</v>
      </c>
      <c r="N21" s="29">
        <f>D8</f>
        <v>4</v>
      </c>
      <c r="O21" s="2" t="s">
        <v>10</v>
      </c>
      <c r="P21" s="5"/>
      <c r="Q21" s="6"/>
      <c r="R21" s="31" t="s">
        <v>9</v>
      </c>
      <c r="S21" s="56">
        <f>H21*L21*N21</f>
        <v>28000</v>
      </c>
      <c r="X21" s="153"/>
      <c r="Y21" s="153"/>
      <c r="Z21" s="153"/>
    </row>
    <row r="22" spans="2:26" ht="15.75" x14ac:dyDescent="0.25">
      <c r="B22" s="15"/>
      <c r="C22" s="157" t="s">
        <v>4</v>
      </c>
      <c r="D22" s="4">
        <f>I10</f>
        <v>1780</v>
      </c>
      <c r="E22" s="65" t="s">
        <v>5</v>
      </c>
      <c r="F22" s="4">
        <f>I14</f>
        <v>1720</v>
      </c>
      <c r="G22" s="5" t="s">
        <v>6</v>
      </c>
      <c r="H22" s="39">
        <f>D22-F23</f>
        <v>60</v>
      </c>
      <c r="I22" s="2" t="s">
        <v>7</v>
      </c>
      <c r="J22" s="2" t="s">
        <v>8</v>
      </c>
      <c r="K22" s="6" t="s">
        <v>9</v>
      </c>
      <c r="L22" s="39">
        <v>100</v>
      </c>
      <c r="M22" s="2" t="s">
        <v>8</v>
      </c>
      <c r="N22" s="29">
        <f>D10</f>
        <v>8</v>
      </c>
      <c r="O22" s="2" t="s">
        <v>10</v>
      </c>
      <c r="P22" s="5"/>
      <c r="Q22" s="6"/>
      <c r="R22" s="31" t="s">
        <v>9</v>
      </c>
      <c r="S22" s="56">
        <f>H22*L22*N22</f>
        <v>48000</v>
      </c>
    </row>
    <row r="23" spans="2:26" ht="16.5" thickBot="1" x14ac:dyDescent="0.3">
      <c r="B23" s="15"/>
      <c r="C23" s="157" t="s">
        <v>26</v>
      </c>
      <c r="D23" s="4">
        <f>I12</f>
        <v>1770</v>
      </c>
      <c r="E23" s="65" t="s">
        <v>5</v>
      </c>
      <c r="F23" s="4">
        <f>I14</f>
        <v>1720</v>
      </c>
      <c r="G23" s="5" t="s">
        <v>6</v>
      </c>
      <c r="H23" s="173">
        <f>D23-F23</f>
        <v>50</v>
      </c>
      <c r="I23" s="2" t="s">
        <v>7</v>
      </c>
      <c r="J23" s="2" t="s">
        <v>8</v>
      </c>
      <c r="K23" s="6" t="s">
        <v>9</v>
      </c>
      <c r="L23" s="39">
        <v>100</v>
      </c>
      <c r="M23" s="2" t="s">
        <v>8</v>
      </c>
      <c r="N23" s="29">
        <f>D12</f>
        <v>16</v>
      </c>
      <c r="O23" s="2" t="s">
        <v>10</v>
      </c>
      <c r="P23" s="5"/>
      <c r="Q23" s="6"/>
      <c r="R23" s="31" t="s">
        <v>9</v>
      </c>
      <c r="S23" s="56">
        <f>H23*L23*N23</f>
        <v>80000</v>
      </c>
      <c r="T23" s="41"/>
    </row>
    <row r="24" spans="2:26" ht="16.5" thickBot="1" x14ac:dyDescent="0.3">
      <c r="B24" s="15"/>
      <c r="C24" s="14" t="s">
        <v>11</v>
      </c>
      <c r="D24" s="2"/>
      <c r="E24" s="64"/>
      <c r="F24" s="2"/>
      <c r="G24" s="2"/>
      <c r="H24" s="2"/>
      <c r="I24" s="2"/>
      <c r="J24" s="2"/>
      <c r="K24" s="2"/>
      <c r="L24" s="39"/>
      <c r="M24" s="2"/>
      <c r="N24" s="39"/>
      <c r="O24" s="2"/>
      <c r="P24" s="5"/>
      <c r="Q24" s="55"/>
      <c r="R24" s="32" t="s">
        <v>9</v>
      </c>
      <c r="S24" s="57">
        <f>SUM(S21:S23)</f>
        <v>156000</v>
      </c>
    </row>
    <row r="25" spans="2:26" ht="9.75" customHeight="1" x14ac:dyDescent="0.2">
      <c r="B25" s="15"/>
      <c r="C25" s="2"/>
      <c r="D25" s="2"/>
      <c r="E25" s="64"/>
      <c r="F25" s="2"/>
      <c r="G25" s="2"/>
      <c r="H25" s="2"/>
      <c r="I25" s="2"/>
      <c r="J25" s="2"/>
      <c r="K25" s="2"/>
      <c r="L25" s="39"/>
      <c r="M25" s="2"/>
      <c r="N25" s="39"/>
      <c r="O25" s="2"/>
      <c r="P25" s="5"/>
      <c r="Q25" s="6"/>
      <c r="R25" s="33"/>
      <c r="S25" s="21"/>
    </row>
    <row r="26" spans="2:26" ht="15" x14ac:dyDescent="0.2">
      <c r="B26" s="15" t="s">
        <v>16</v>
      </c>
      <c r="C26" s="14" t="s">
        <v>14</v>
      </c>
      <c r="D26" s="2"/>
      <c r="E26" s="64"/>
      <c r="F26" s="2"/>
      <c r="G26" s="2"/>
      <c r="H26" s="2"/>
      <c r="I26" s="2"/>
      <c r="J26" s="2"/>
      <c r="K26" s="2"/>
      <c r="L26" s="39"/>
      <c r="M26" s="2"/>
      <c r="N26" s="39"/>
      <c r="O26" s="2"/>
      <c r="P26" s="5"/>
      <c r="Q26" s="6"/>
      <c r="R26" s="33"/>
      <c r="S26" s="21"/>
    </row>
    <row r="27" spans="2:26" ht="15.75" x14ac:dyDescent="0.25">
      <c r="B27" s="15"/>
      <c r="C27" s="2" t="s">
        <v>2</v>
      </c>
      <c r="D27" s="63">
        <f>I4</f>
        <v>1900</v>
      </c>
      <c r="E27" s="65" t="s">
        <v>5</v>
      </c>
      <c r="F27" s="29">
        <f>I6</f>
        <v>1800</v>
      </c>
      <c r="G27" s="5" t="s">
        <v>6</v>
      </c>
      <c r="H27" s="1">
        <f>D27-F27</f>
        <v>100</v>
      </c>
      <c r="I27" s="1" t="s">
        <v>7</v>
      </c>
      <c r="J27" s="11" t="s">
        <v>8</v>
      </c>
      <c r="K27" s="27" t="s">
        <v>9</v>
      </c>
      <c r="L27" s="39">
        <v>100</v>
      </c>
      <c r="M27" s="11" t="s">
        <v>8</v>
      </c>
      <c r="N27" s="29">
        <f>D6</f>
        <v>2</v>
      </c>
      <c r="O27" s="11" t="s">
        <v>10</v>
      </c>
      <c r="P27" s="5"/>
      <c r="Q27" s="2"/>
      <c r="R27" s="31" t="s">
        <v>9</v>
      </c>
      <c r="S27" s="40">
        <f>H27*L27*N27</f>
        <v>20000</v>
      </c>
    </row>
    <row r="28" spans="2:26" ht="15.75" x14ac:dyDescent="0.25">
      <c r="B28" s="15"/>
      <c r="C28" s="2" t="s">
        <v>2</v>
      </c>
      <c r="D28" s="63">
        <f>I4</f>
        <v>1900</v>
      </c>
      <c r="E28" s="65" t="s">
        <v>5</v>
      </c>
      <c r="F28" s="29">
        <f>I8</f>
        <v>1790</v>
      </c>
      <c r="G28" s="5" t="s">
        <v>6</v>
      </c>
      <c r="H28" s="1">
        <f>D28-F28</f>
        <v>110</v>
      </c>
      <c r="I28" s="1" t="s">
        <v>7</v>
      </c>
      <c r="J28" s="11" t="s">
        <v>8</v>
      </c>
      <c r="K28" s="27" t="s">
        <v>9</v>
      </c>
      <c r="L28" s="39">
        <v>100</v>
      </c>
      <c r="M28" s="11" t="s">
        <v>8</v>
      </c>
      <c r="N28" s="29">
        <f>D8</f>
        <v>4</v>
      </c>
      <c r="O28" s="11" t="s">
        <v>10</v>
      </c>
      <c r="P28" s="5"/>
      <c r="Q28" s="2"/>
      <c r="R28" s="31" t="s">
        <v>9</v>
      </c>
      <c r="S28" s="40">
        <f>H28*L28*N28</f>
        <v>44000</v>
      </c>
    </row>
    <row r="29" spans="2:26" ht="15.75" x14ac:dyDescent="0.25">
      <c r="B29" s="15"/>
      <c r="C29" s="2" t="s">
        <v>3</v>
      </c>
      <c r="D29" s="63">
        <f>I4</f>
        <v>1900</v>
      </c>
      <c r="E29" s="65" t="s">
        <v>5</v>
      </c>
      <c r="F29" s="29">
        <f>I10</f>
        <v>1780</v>
      </c>
      <c r="G29" s="5" t="s">
        <v>6</v>
      </c>
      <c r="H29" s="1">
        <f>D29-F29</f>
        <v>120</v>
      </c>
      <c r="I29" s="1" t="s">
        <v>7</v>
      </c>
      <c r="J29" s="11" t="s">
        <v>8</v>
      </c>
      <c r="K29" s="27" t="s">
        <v>9</v>
      </c>
      <c r="L29" s="39">
        <v>100</v>
      </c>
      <c r="M29" s="11" t="s">
        <v>8</v>
      </c>
      <c r="N29" s="29">
        <f>D10</f>
        <v>8</v>
      </c>
      <c r="O29" s="11" t="s">
        <v>10</v>
      </c>
      <c r="P29" s="5"/>
      <c r="Q29" s="2"/>
      <c r="R29" s="31" t="s">
        <v>9</v>
      </c>
      <c r="S29" s="40">
        <f>H29*L29*N29</f>
        <v>96000</v>
      </c>
    </row>
    <row r="30" spans="2:26" ht="16.5" thickBot="1" x14ac:dyDescent="0.3">
      <c r="B30" s="15"/>
      <c r="C30" s="157" t="s">
        <v>4</v>
      </c>
      <c r="D30" s="63">
        <f>I4</f>
        <v>1900</v>
      </c>
      <c r="E30" s="65" t="s">
        <v>5</v>
      </c>
      <c r="F30" s="29">
        <f>I12</f>
        <v>1770</v>
      </c>
      <c r="G30" s="5" t="s">
        <v>6</v>
      </c>
      <c r="H30" s="1">
        <f>D30-F30</f>
        <v>130</v>
      </c>
      <c r="I30" s="1" t="s">
        <v>7</v>
      </c>
      <c r="J30" s="11" t="s">
        <v>8</v>
      </c>
      <c r="K30" s="27" t="s">
        <v>9</v>
      </c>
      <c r="L30" s="39">
        <v>100</v>
      </c>
      <c r="M30" s="11" t="s">
        <v>8</v>
      </c>
      <c r="N30" s="29">
        <f>D12</f>
        <v>16</v>
      </c>
      <c r="O30" s="11" t="s">
        <v>10</v>
      </c>
      <c r="P30" s="5"/>
      <c r="Q30" s="2"/>
      <c r="R30" s="31" t="s">
        <v>9</v>
      </c>
      <c r="S30" s="20">
        <f>H30*L30*N30</f>
        <v>208000</v>
      </c>
    </row>
    <row r="31" spans="2:26" ht="16.5" thickBot="1" x14ac:dyDescent="0.3">
      <c r="B31" s="15"/>
      <c r="C31" s="14" t="s">
        <v>12</v>
      </c>
      <c r="D31" s="1"/>
      <c r="E31" s="2"/>
      <c r="F31" s="1"/>
      <c r="G31" s="5"/>
      <c r="H31" s="1"/>
      <c r="I31" s="1"/>
      <c r="J31" s="11"/>
      <c r="K31" s="11"/>
      <c r="L31" s="2"/>
      <c r="M31" s="11"/>
      <c r="N31" s="2"/>
      <c r="O31" s="11"/>
      <c r="P31" s="5"/>
      <c r="Q31" s="2"/>
      <c r="R31" s="32" t="s">
        <v>9</v>
      </c>
      <c r="S31" s="19">
        <f>SUM(S28:S30)</f>
        <v>348000</v>
      </c>
    </row>
    <row r="32" spans="2:26" ht="9.75" customHeight="1" x14ac:dyDescent="0.25">
      <c r="B32" s="15"/>
      <c r="C32" s="2"/>
      <c r="D32" s="1"/>
      <c r="E32" s="2"/>
      <c r="F32" s="1"/>
      <c r="G32" s="5"/>
      <c r="H32" s="1"/>
      <c r="I32" s="1"/>
      <c r="J32" s="11"/>
      <c r="K32" s="11"/>
      <c r="L32" s="2"/>
      <c r="M32" s="11"/>
      <c r="N32" s="2"/>
      <c r="O32" s="11"/>
      <c r="P32" s="5"/>
      <c r="Q32" s="2"/>
      <c r="R32" s="31"/>
      <c r="S32" s="20"/>
    </row>
    <row r="33" spans="1:19" ht="15.75" x14ac:dyDescent="0.25">
      <c r="B33" s="15" t="s">
        <v>17</v>
      </c>
      <c r="C33" s="16" t="s">
        <v>18</v>
      </c>
      <c r="D33" s="1"/>
      <c r="E33" s="2"/>
      <c r="F33" s="1"/>
      <c r="G33" s="5"/>
      <c r="H33" s="1"/>
      <c r="I33" s="1"/>
      <c r="J33" s="11"/>
      <c r="K33" s="11"/>
      <c r="L33" s="2"/>
      <c r="M33" s="11"/>
      <c r="N33" s="2"/>
      <c r="O33" s="11"/>
      <c r="P33" s="5"/>
      <c r="Q33" s="2"/>
      <c r="R33" s="31"/>
      <c r="S33" s="20"/>
    </row>
    <row r="34" spans="1:19" ht="15.75" x14ac:dyDescent="0.25">
      <c r="B34" s="15"/>
      <c r="C34" s="2" t="s">
        <v>29</v>
      </c>
      <c r="D34" s="2"/>
      <c r="E34" s="2"/>
      <c r="F34" s="2"/>
      <c r="G34" s="175">
        <v>2000</v>
      </c>
      <c r="H34" s="175"/>
      <c r="I34" s="28"/>
      <c r="J34" s="2"/>
      <c r="K34" s="2"/>
      <c r="L34" s="2"/>
      <c r="M34" s="2"/>
      <c r="N34" s="2"/>
      <c r="O34" s="2"/>
      <c r="P34" s="2"/>
      <c r="Q34" s="2"/>
      <c r="R34" s="31"/>
      <c r="S34" s="22"/>
    </row>
    <row r="35" spans="1:19" ht="15.75" x14ac:dyDescent="0.25">
      <c r="B35" s="15"/>
      <c r="C35" s="2" t="str">
        <f>"Total Lot yang diperdagangkan "&amp;C14&amp;" Lot"</f>
        <v>Total Lot yang diperdagangkan 4 Lot</v>
      </c>
      <c r="D35" s="2"/>
      <c r="E35" s="2"/>
      <c r="F35" s="2"/>
      <c r="G35" s="2"/>
      <c r="H35" s="29"/>
      <c r="I35" s="8"/>
      <c r="J35" s="2"/>
      <c r="K35" s="2"/>
      <c r="L35" s="2"/>
      <c r="M35" s="2"/>
      <c r="N35" s="2"/>
      <c r="O35" s="2"/>
      <c r="P35" s="2"/>
      <c r="Q35" s="2"/>
      <c r="R35" s="31"/>
      <c r="S35" s="22"/>
    </row>
    <row r="36" spans="1:19" ht="15.75" x14ac:dyDescent="0.25">
      <c r="B36" s="15"/>
      <c r="C36" s="2" t="str">
        <f>"Maka jaminan yang dibutuhkan  :  $. 2.000 * "&amp;C14&amp;" Lot"</f>
        <v>Maka jaminan yang dibutuhkan  :  $. 2.000 * 4 Lot</v>
      </c>
      <c r="D36" s="2"/>
      <c r="E36" s="2"/>
      <c r="F36" s="2"/>
      <c r="G36" s="2"/>
      <c r="H36" s="2"/>
      <c r="I36" s="1"/>
      <c r="J36" s="2"/>
      <c r="K36" s="1"/>
      <c r="L36" s="1"/>
      <c r="M36" s="2"/>
      <c r="N36" s="2"/>
      <c r="O36" s="2"/>
      <c r="P36" s="5"/>
      <c r="Q36" s="5"/>
      <c r="R36" s="37" t="s">
        <v>9</v>
      </c>
      <c r="S36" s="20">
        <f>C14*2000</f>
        <v>8000</v>
      </c>
    </row>
    <row r="37" spans="1:19" ht="15.75" x14ac:dyDescent="0.25">
      <c r="B37" s="1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1"/>
      <c r="S37" s="22"/>
    </row>
    <row r="38" spans="1:19" ht="15.75" x14ac:dyDescent="0.25">
      <c r="B38" s="15"/>
      <c r="C38" s="16" t="s">
        <v>1</v>
      </c>
      <c r="D38" s="2"/>
      <c r="E38" s="2"/>
      <c r="F38" s="2"/>
      <c r="G38" s="2"/>
      <c r="H38" s="6"/>
      <c r="I38" s="2"/>
      <c r="J38" s="2"/>
      <c r="K38" s="9"/>
      <c r="L38" s="9"/>
      <c r="M38" s="2"/>
      <c r="N38" s="6"/>
      <c r="O38" s="156"/>
      <c r="P38" s="5"/>
      <c r="Q38" s="2"/>
      <c r="R38" s="31" t="s">
        <v>9</v>
      </c>
      <c r="S38" s="23">
        <f>S24</f>
        <v>156000</v>
      </c>
    </row>
    <row r="39" spans="1:19" ht="16.5" thickBot="1" x14ac:dyDescent="0.3">
      <c r="B39" s="47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9"/>
      <c r="O39" s="50"/>
      <c r="P39" s="51"/>
      <c r="Q39" s="51"/>
      <c r="R39" s="52"/>
      <c r="S39" s="53"/>
    </row>
    <row r="40" spans="1:19" ht="16.5" thickBot="1" x14ac:dyDescent="0.25">
      <c r="B40" s="10"/>
      <c r="C40" s="17" t="s">
        <v>13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38" t="s">
        <v>9</v>
      </c>
      <c r="S40" s="26">
        <f>S36+S38</f>
        <v>164000</v>
      </c>
    </row>
    <row r="41" spans="1:19" x14ac:dyDescent="0.2">
      <c r="B41" s="176"/>
      <c r="C41" s="176"/>
    </row>
    <row r="43" spans="1:19" x14ac:dyDescent="0.2">
      <c r="A43" s="194"/>
      <c r="B43" s="194"/>
      <c r="H43" s="193"/>
      <c r="I43" s="193"/>
      <c r="J43" s="193"/>
      <c r="K43" s="193"/>
      <c r="L43" s="193"/>
      <c r="M43" s="193"/>
      <c r="N43" s="193"/>
      <c r="O43" s="193"/>
      <c r="P43" s="193"/>
      <c r="Q43" s="193"/>
    </row>
    <row r="44" spans="1:19" x14ac:dyDescent="0.2">
      <c r="A44" s="192"/>
      <c r="B44" s="192"/>
      <c r="J44" s="193"/>
      <c r="K44" s="193"/>
      <c r="L44" s="193"/>
      <c r="M44" s="193"/>
      <c r="N44" s="193"/>
      <c r="O44" s="193"/>
      <c r="P44" s="193"/>
      <c r="Q44" s="193"/>
    </row>
  </sheetData>
  <mergeCells count="32">
    <mergeCell ref="B1:S1"/>
    <mergeCell ref="B3:G3"/>
    <mergeCell ref="K3:L3"/>
    <mergeCell ref="I4:K4"/>
    <mergeCell ref="D12:E13"/>
    <mergeCell ref="I12:K13"/>
    <mergeCell ref="I10:K11"/>
    <mergeCell ref="D6:E7"/>
    <mergeCell ref="I6:K7"/>
    <mergeCell ref="N6:R7"/>
    <mergeCell ref="D10:E11"/>
    <mergeCell ref="N10:R11"/>
    <mergeCell ref="D8:E9"/>
    <mergeCell ref="I8:K9"/>
    <mergeCell ref="N8:R9"/>
    <mergeCell ref="X20:Z20"/>
    <mergeCell ref="N12:R13"/>
    <mergeCell ref="I14:K14"/>
    <mergeCell ref="N14:R14"/>
    <mergeCell ref="C14:F14"/>
    <mergeCell ref="B17:Q17"/>
    <mergeCell ref="R17:S17"/>
    <mergeCell ref="C15:F15"/>
    <mergeCell ref="A44:B44"/>
    <mergeCell ref="J44:M44"/>
    <mergeCell ref="N44:Q44"/>
    <mergeCell ref="G34:H34"/>
    <mergeCell ref="B41:C41"/>
    <mergeCell ref="A43:B43"/>
    <mergeCell ref="H43:I43"/>
    <mergeCell ref="J43:M43"/>
    <mergeCell ref="N43:Q43"/>
  </mergeCells>
  <phoneticPr fontId="2" type="noConversion"/>
  <pageMargins left="0.41" right="0.5" top="1" bottom="1" header="0.5" footer="0.5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H84"/>
  <sheetViews>
    <sheetView topLeftCell="A4" zoomScale="75" workbookViewId="0">
      <selection activeCell="S14" sqref="S14"/>
    </sheetView>
  </sheetViews>
  <sheetFormatPr defaultRowHeight="12.75" x14ac:dyDescent="0.2"/>
  <cols>
    <col min="1" max="1" width="2.42578125" customWidth="1"/>
    <col min="2" max="2" width="3" customWidth="1"/>
    <col min="3" max="3" width="7.85546875" customWidth="1"/>
    <col min="4" max="4" width="9" customWidth="1"/>
    <col min="5" max="5" width="3" customWidth="1"/>
    <col min="6" max="6" width="7.140625" bestFit="1" customWidth="1"/>
    <col min="7" max="7" width="2" customWidth="1"/>
    <col min="8" max="8" width="5.28515625" customWidth="1"/>
    <col min="9" max="9" width="5.140625" customWidth="1"/>
    <col min="10" max="10" width="1.7109375" customWidth="1"/>
    <col min="11" max="11" width="2.5703125" customWidth="1"/>
    <col min="12" max="12" width="4.140625" bestFit="1" customWidth="1"/>
    <col min="13" max="13" width="1.5703125" customWidth="1"/>
    <col min="14" max="14" width="4.42578125" customWidth="1"/>
    <col min="15" max="15" width="1.42578125" customWidth="1"/>
    <col min="16" max="16" width="3.5703125" customWidth="1"/>
    <col min="17" max="17" width="1.5703125" customWidth="1"/>
    <col min="18" max="18" width="3.42578125" style="34" customWidth="1"/>
    <col min="19" max="19" width="12.85546875" customWidth="1"/>
    <col min="20" max="20" width="3" customWidth="1"/>
    <col min="21" max="22" width="0" hidden="1" customWidth="1"/>
    <col min="27" max="27" width="10.42578125" customWidth="1"/>
  </cols>
  <sheetData>
    <row r="2" spans="1:22" ht="27.75" customHeight="1" thickBot="1" x14ac:dyDescent="0.25">
      <c r="A2" s="80" t="s">
        <v>38</v>
      </c>
      <c r="B2" s="221" t="s">
        <v>39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80"/>
    </row>
    <row r="3" spans="1:22" ht="13.5" thickTop="1" x14ac:dyDescent="0.2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1"/>
      <c r="S3" s="80"/>
      <c r="T3" s="80"/>
    </row>
    <row r="4" spans="1:22" x14ac:dyDescent="0.2">
      <c r="A4" s="80"/>
      <c r="B4" s="222" t="s">
        <v>19</v>
      </c>
      <c r="C4" s="222"/>
      <c r="D4" s="222"/>
      <c r="E4" s="222"/>
      <c r="F4" s="222"/>
      <c r="G4" s="222"/>
      <c r="H4" s="80"/>
      <c r="I4" s="80"/>
      <c r="J4" s="80"/>
      <c r="K4" s="222"/>
      <c r="L4" s="222"/>
      <c r="M4" s="80"/>
      <c r="N4" s="80"/>
      <c r="O4" s="80"/>
      <c r="P4" s="80"/>
      <c r="Q4" s="80"/>
      <c r="R4" s="81"/>
      <c r="S4" s="80"/>
      <c r="T4" s="80"/>
    </row>
    <row r="5" spans="1:22" x14ac:dyDescent="0.2">
      <c r="A5" s="80"/>
      <c r="B5" s="80"/>
      <c r="C5" s="80"/>
      <c r="D5" s="82"/>
      <c r="E5" s="80"/>
      <c r="F5" s="80"/>
      <c r="G5" s="80"/>
      <c r="H5" s="80"/>
      <c r="I5" s="223">
        <v>1550</v>
      </c>
      <c r="J5" s="223"/>
      <c r="K5" s="223"/>
      <c r="L5" s="83"/>
      <c r="M5" s="84"/>
      <c r="N5" s="84" t="s">
        <v>0</v>
      </c>
      <c r="O5" s="80"/>
      <c r="P5" s="80"/>
      <c r="Q5" s="80"/>
      <c r="R5" s="85"/>
      <c r="S5" s="80"/>
      <c r="T5" s="80"/>
    </row>
    <row r="6" spans="1:22" x14ac:dyDescent="0.2">
      <c r="A6" s="80"/>
      <c r="B6" s="80"/>
      <c r="C6" s="80"/>
      <c r="D6" s="86"/>
      <c r="E6" s="80"/>
      <c r="F6" s="80"/>
      <c r="G6" s="80"/>
      <c r="H6" s="80"/>
      <c r="I6" s="84"/>
      <c r="K6" s="84"/>
      <c r="L6" s="87"/>
      <c r="M6" s="84"/>
      <c r="N6" s="84"/>
      <c r="O6" s="84"/>
      <c r="P6" s="84"/>
      <c r="Q6" s="84"/>
      <c r="R6" s="85"/>
      <c r="S6" s="80"/>
      <c r="T6" s="80"/>
    </row>
    <row r="7" spans="1:22" x14ac:dyDescent="0.2">
      <c r="A7" s="80"/>
      <c r="B7" s="80"/>
      <c r="C7" s="80"/>
      <c r="D7" s="216">
        <v>5</v>
      </c>
      <c r="E7" s="216"/>
      <c r="F7" s="80"/>
      <c r="G7" s="80"/>
      <c r="H7" s="80"/>
      <c r="I7" s="212">
        <v>1490</v>
      </c>
      <c r="J7" s="212"/>
      <c r="K7" s="212"/>
      <c r="L7" s="87"/>
      <c r="M7" s="84"/>
      <c r="N7" s="213" t="str">
        <f>"Buy "&amp;D7&amp;" Lot"</f>
        <v>Buy 5 Lot</v>
      </c>
      <c r="O7" s="213"/>
      <c r="P7" s="213"/>
      <c r="Q7" s="213"/>
      <c r="R7" s="213"/>
      <c r="S7" s="80"/>
      <c r="T7" s="80"/>
      <c r="U7" t="s">
        <v>22</v>
      </c>
      <c r="V7">
        <v>10349</v>
      </c>
    </row>
    <row r="8" spans="1:22" x14ac:dyDescent="0.2">
      <c r="A8" s="80"/>
      <c r="B8" s="80"/>
      <c r="C8" s="80"/>
      <c r="D8" s="216"/>
      <c r="E8" s="216"/>
      <c r="F8" s="80"/>
      <c r="G8" s="80"/>
      <c r="H8" s="80"/>
      <c r="I8" s="212"/>
      <c r="J8" s="212"/>
      <c r="K8" s="212"/>
      <c r="L8" s="83"/>
      <c r="M8" s="84"/>
      <c r="N8" s="213"/>
      <c r="O8" s="213"/>
      <c r="P8" s="213"/>
      <c r="Q8" s="213"/>
      <c r="R8" s="213"/>
      <c r="S8" s="80"/>
      <c r="T8" s="80"/>
      <c r="U8" t="s">
        <v>23</v>
      </c>
      <c r="V8" s="43">
        <f>V7-S28</f>
        <v>-169651</v>
      </c>
    </row>
    <row r="9" spans="1:22" x14ac:dyDescent="0.2">
      <c r="A9" s="80"/>
      <c r="B9" s="80"/>
      <c r="C9" s="80"/>
      <c r="D9" s="216">
        <v>5</v>
      </c>
      <c r="E9" s="216"/>
      <c r="F9" s="80"/>
      <c r="G9" s="80"/>
      <c r="H9" s="80"/>
      <c r="I9" s="212">
        <v>1470</v>
      </c>
      <c r="J9" s="212"/>
      <c r="K9" s="212"/>
      <c r="L9" s="87"/>
      <c r="M9" s="84"/>
      <c r="N9" s="213" t="str">
        <f>"Buy "&amp;D9&amp;" Lot"</f>
        <v>Buy 5 Lot</v>
      </c>
      <c r="O9" s="213"/>
      <c r="P9" s="213"/>
      <c r="Q9" s="213"/>
      <c r="R9" s="213"/>
      <c r="S9" s="80"/>
      <c r="T9" s="88"/>
      <c r="U9" t="s">
        <v>24</v>
      </c>
      <c r="V9">
        <f>D15*1000</f>
        <v>10000</v>
      </c>
    </row>
    <row r="10" spans="1:22" x14ac:dyDescent="0.2">
      <c r="A10" s="80"/>
      <c r="B10" s="80"/>
      <c r="C10" s="80"/>
      <c r="D10" s="216"/>
      <c r="E10" s="216"/>
      <c r="F10" s="80"/>
      <c r="G10" s="80"/>
      <c r="H10" s="80"/>
      <c r="I10" s="212"/>
      <c r="J10" s="212"/>
      <c r="K10" s="212"/>
      <c r="L10" s="83"/>
      <c r="M10" s="84"/>
      <c r="N10" s="213"/>
      <c r="O10" s="213"/>
      <c r="P10" s="213"/>
      <c r="Q10" s="213"/>
      <c r="R10" s="213"/>
      <c r="S10" s="89"/>
      <c r="T10" s="80"/>
      <c r="U10" t="s">
        <v>25</v>
      </c>
      <c r="V10" s="43">
        <f>V8-V9</f>
        <v>-179651</v>
      </c>
    </row>
    <row r="11" spans="1:22" x14ac:dyDescent="0.2">
      <c r="A11" s="80"/>
      <c r="B11" s="80"/>
      <c r="C11" s="80"/>
      <c r="D11" s="220">
        <v>5</v>
      </c>
      <c r="E11" s="220"/>
      <c r="F11" s="80"/>
      <c r="G11" s="80"/>
      <c r="H11" s="80"/>
      <c r="I11" s="212">
        <v>1450</v>
      </c>
      <c r="J11" s="212"/>
      <c r="K11" s="212"/>
      <c r="L11" s="87"/>
      <c r="M11" s="84"/>
      <c r="N11" s="213" t="s">
        <v>70</v>
      </c>
      <c r="O11" s="213"/>
      <c r="P11" s="213"/>
      <c r="Q11" s="213"/>
      <c r="R11" s="213"/>
      <c r="S11" s="80"/>
      <c r="T11" s="80"/>
    </row>
    <row r="12" spans="1:22" x14ac:dyDescent="0.2">
      <c r="A12" s="80"/>
      <c r="B12" s="80"/>
      <c r="C12" s="80"/>
      <c r="D12" s="220"/>
      <c r="E12" s="220"/>
      <c r="F12" s="80"/>
      <c r="G12" s="80"/>
      <c r="H12" s="80"/>
      <c r="I12" s="212"/>
      <c r="J12" s="212"/>
      <c r="K12" s="212"/>
      <c r="L12" s="83"/>
      <c r="M12" s="84"/>
      <c r="N12" s="213"/>
      <c r="O12" s="213"/>
      <c r="P12" s="213"/>
      <c r="Q12" s="213"/>
      <c r="R12" s="213"/>
      <c r="S12" s="80"/>
      <c r="T12" s="80"/>
    </row>
    <row r="13" spans="1:22" x14ac:dyDescent="0.2">
      <c r="A13" s="80"/>
      <c r="B13" s="80"/>
      <c r="C13" s="80"/>
      <c r="D13" s="220">
        <v>5</v>
      </c>
      <c r="E13" s="220"/>
      <c r="F13" s="80"/>
      <c r="G13" s="80"/>
      <c r="H13" s="80"/>
      <c r="I13" s="212">
        <v>1430</v>
      </c>
      <c r="J13" s="212"/>
      <c r="K13" s="212"/>
      <c r="L13" s="87"/>
      <c r="M13" s="84"/>
      <c r="N13" s="213" t="s">
        <v>69</v>
      </c>
      <c r="O13" s="213"/>
      <c r="P13" s="213"/>
      <c r="Q13" s="213"/>
      <c r="R13" s="213"/>
      <c r="S13" s="80"/>
      <c r="T13" s="80"/>
    </row>
    <row r="14" spans="1:22" x14ac:dyDescent="0.2">
      <c r="A14" s="80"/>
      <c r="B14" s="80"/>
      <c r="C14" s="80"/>
      <c r="D14" s="220"/>
      <c r="E14" s="220"/>
      <c r="F14" s="80"/>
      <c r="G14" s="80"/>
      <c r="H14" s="80"/>
      <c r="I14" s="212"/>
      <c r="J14" s="212"/>
      <c r="K14" s="212"/>
      <c r="L14" s="83"/>
      <c r="M14" s="84"/>
      <c r="N14" s="213"/>
      <c r="O14" s="213"/>
      <c r="P14" s="213"/>
      <c r="Q14" s="213"/>
      <c r="R14" s="213"/>
      <c r="S14" s="80"/>
      <c r="T14" s="80"/>
    </row>
    <row r="15" spans="1:22" x14ac:dyDescent="0.2">
      <c r="A15" s="80"/>
      <c r="B15" s="80"/>
      <c r="C15" s="80"/>
      <c r="D15" s="212">
        <v>10</v>
      </c>
      <c r="E15" s="212"/>
      <c r="F15" s="80"/>
      <c r="G15" s="80"/>
      <c r="H15" s="80"/>
      <c r="I15" s="212">
        <v>1400</v>
      </c>
      <c r="J15" s="212"/>
      <c r="K15" s="212"/>
      <c r="L15" s="87"/>
      <c r="M15" s="80"/>
      <c r="N15" s="213" t="s">
        <v>68</v>
      </c>
      <c r="O15" s="213"/>
      <c r="P15" s="213"/>
      <c r="Q15" s="213"/>
      <c r="R15" s="213"/>
      <c r="S15" s="80"/>
      <c r="T15" s="80"/>
    </row>
    <row r="16" spans="1:22" x14ac:dyDescent="0.2">
      <c r="A16" s="80"/>
      <c r="B16" s="80"/>
      <c r="C16" s="80"/>
      <c r="D16" s="212"/>
      <c r="E16" s="212"/>
      <c r="F16" s="80"/>
      <c r="G16" s="80"/>
      <c r="H16" s="80"/>
      <c r="I16" s="212"/>
      <c r="J16" s="212"/>
      <c r="K16" s="212"/>
      <c r="L16" s="80"/>
      <c r="M16" s="80"/>
      <c r="N16" s="213"/>
      <c r="O16" s="213"/>
      <c r="P16" s="213"/>
      <c r="Q16" s="213"/>
      <c r="R16" s="213"/>
      <c r="S16" s="80"/>
      <c r="T16" s="80"/>
    </row>
    <row r="17" spans="1:34" x14ac:dyDescent="0.2">
      <c r="A17" s="80"/>
      <c r="B17" s="80"/>
      <c r="C17" s="80"/>
      <c r="D17" s="214">
        <f>SUM(D7:D16)</f>
        <v>30</v>
      </c>
      <c r="E17" s="214"/>
      <c r="F17" s="80"/>
      <c r="G17" s="80"/>
      <c r="H17" s="80"/>
      <c r="I17" s="215">
        <v>1380</v>
      </c>
      <c r="J17" s="215"/>
      <c r="K17" s="215"/>
      <c r="L17" s="80"/>
      <c r="M17" s="80"/>
      <c r="N17" s="213" t="s">
        <v>58</v>
      </c>
      <c r="O17" s="213"/>
      <c r="P17" s="213"/>
      <c r="Q17" s="213"/>
      <c r="R17" s="213"/>
      <c r="S17" s="90"/>
      <c r="T17" s="80"/>
    </row>
    <row r="18" spans="1:34" ht="15.75" x14ac:dyDescent="0.25">
      <c r="A18" s="80"/>
      <c r="B18" s="80"/>
      <c r="C18" s="217" t="s">
        <v>37</v>
      </c>
      <c r="D18" s="218"/>
      <c r="E18" s="218"/>
      <c r="F18" s="219"/>
      <c r="G18" s="80"/>
      <c r="H18" s="80"/>
      <c r="I18" s="215"/>
      <c r="J18" s="215"/>
      <c r="K18" s="215"/>
      <c r="L18" s="80"/>
      <c r="M18" s="80"/>
      <c r="N18" s="213"/>
      <c r="O18" s="213"/>
      <c r="P18" s="213"/>
      <c r="Q18" s="213"/>
      <c r="R18" s="213"/>
      <c r="S18" s="80"/>
      <c r="T18" s="80"/>
    </row>
    <row r="19" spans="1:34" ht="16.5" thickBot="1" x14ac:dyDescent="0.3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1"/>
      <c r="S19" s="80"/>
      <c r="T19" s="80"/>
      <c r="AA19" s="139" t="s">
        <v>41</v>
      </c>
    </row>
    <row r="20" spans="1:34" ht="18.75" thickBot="1" x14ac:dyDescent="0.25">
      <c r="A20" s="80"/>
      <c r="B20" s="206" t="s">
        <v>20</v>
      </c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8" t="s">
        <v>21</v>
      </c>
      <c r="S20" s="209"/>
      <c r="T20" s="91">
        <v>10</v>
      </c>
    </row>
    <row r="21" spans="1:34" x14ac:dyDescent="0.2">
      <c r="A21" s="80"/>
      <c r="B21" s="92"/>
      <c r="C21" s="93"/>
      <c r="D21" s="93"/>
      <c r="E21" s="93"/>
      <c r="F21" s="93"/>
      <c r="G21" s="93"/>
      <c r="H21" s="93"/>
      <c r="I21" s="93"/>
      <c r="J21" s="93"/>
      <c r="K21" s="93"/>
      <c r="L21" s="94"/>
      <c r="M21" s="93"/>
      <c r="N21" s="93"/>
      <c r="O21" s="93"/>
      <c r="P21" s="93"/>
      <c r="Q21" s="93"/>
      <c r="R21" s="95"/>
      <c r="S21" s="96"/>
      <c r="T21" s="80"/>
    </row>
    <row r="22" spans="1:34" ht="12.75" customHeight="1" x14ac:dyDescent="0.2">
      <c r="A22" s="80"/>
      <c r="B22" s="97" t="s">
        <v>15</v>
      </c>
      <c r="C22" s="87" t="s">
        <v>1</v>
      </c>
      <c r="D22" s="86"/>
      <c r="E22" s="98"/>
      <c r="F22" s="86"/>
      <c r="G22" s="86"/>
      <c r="H22" s="86"/>
      <c r="I22" s="86"/>
      <c r="J22" s="86"/>
      <c r="K22" s="86"/>
      <c r="L22" s="99"/>
      <c r="M22" s="86"/>
      <c r="N22" s="86"/>
      <c r="O22" s="86"/>
      <c r="P22" s="86"/>
      <c r="Q22" s="86"/>
      <c r="R22" s="100"/>
      <c r="S22" s="101"/>
      <c r="T22" s="80"/>
      <c r="AA22" s="205" t="s">
        <v>42</v>
      </c>
      <c r="AB22" s="205"/>
      <c r="AC22" s="205"/>
      <c r="AD22" s="205"/>
      <c r="AE22" s="205"/>
    </row>
    <row r="23" spans="1:34" ht="15.75" x14ac:dyDescent="0.25">
      <c r="A23" s="80"/>
      <c r="B23" s="97"/>
      <c r="C23" s="86" t="s">
        <v>2</v>
      </c>
      <c r="D23" s="102">
        <f>I7</f>
        <v>1490</v>
      </c>
      <c r="E23" s="103" t="s">
        <v>5</v>
      </c>
      <c r="F23" s="102">
        <f>I17</f>
        <v>1380</v>
      </c>
      <c r="G23" s="104" t="s">
        <v>6</v>
      </c>
      <c r="H23" s="86">
        <f>D23-F23</f>
        <v>110</v>
      </c>
      <c r="I23" s="86" t="s">
        <v>7</v>
      </c>
      <c r="J23" s="86" t="s">
        <v>8</v>
      </c>
      <c r="K23" s="105" t="s">
        <v>9</v>
      </c>
      <c r="L23" s="99">
        <v>100</v>
      </c>
      <c r="M23" s="86" t="s">
        <v>8</v>
      </c>
      <c r="N23" s="82">
        <f>D7</f>
        <v>5</v>
      </c>
      <c r="O23" s="86" t="s">
        <v>10</v>
      </c>
      <c r="P23" s="104"/>
      <c r="Q23" s="105"/>
      <c r="R23" s="106" t="s">
        <v>9</v>
      </c>
      <c r="S23" s="107">
        <f>H23*L23*N23</f>
        <v>55000</v>
      </c>
      <c r="T23" s="80"/>
      <c r="AA23" s="140" t="s">
        <v>43</v>
      </c>
      <c r="AB23" s="140" t="s">
        <v>44</v>
      </c>
      <c r="AC23" s="140" t="s">
        <v>45</v>
      </c>
      <c r="AD23" s="140" t="s">
        <v>46</v>
      </c>
      <c r="AE23" s="140" t="s">
        <v>47</v>
      </c>
    </row>
    <row r="24" spans="1:34" ht="15.75" x14ac:dyDescent="0.25">
      <c r="A24" s="80"/>
      <c r="B24" s="97"/>
      <c r="C24" s="86" t="s">
        <v>3</v>
      </c>
      <c r="D24" s="102">
        <f>I9</f>
        <v>1470</v>
      </c>
      <c r="E24" s="103" t="s">
        <v>5</v>
      </c>
      <c r="F24" s="102">
        <f>I17</f>
        <v>1380</v>
      </c>
      <c r="G24" s="104" t="s">
        <v>6</v>
      </c>
      <c r="H24" s="86">
        <f>D24-F24</f>
        <v>90</v>
      </c>
      <c r="I24" s="86" t="s">
        <v>7</v>
      </c>
      <c r="J24" s="86" t="s">
        <v>8</v>
      </c>
      <c r="K24" s="105" t="s">
        <v>9</v>
      </c>
      <c r="L24" s="99">
        <v>100</v>
      </c>
      <c r="M24" s="86" t="s">
        <v>8</v>
      </c>
      <c r="N24" s="82">
        <f>D9</f>
        <v>5</v>
      </c>
      <c r="O24" s="86" t="s">
        <v>10</v>
      </c>
      <c r="P24" s="104"/>
      <c r="Q24" s="105"/>
      <c r="R24" s="106" t="s">
        <v>9</v>
      </c>
      <c r="S24" s="107">
        <f>H24*L24*N24</f>
        <v>45000</v>
      </c>
      <c r="T24" s="80"/>
      <c r="AA24" s="141">
        <v>42711</v>
      </c>
      <c r="AB24" s="142">
        <v>1169.3499999999999</v>
      </c>
      <c r="AC24" s="142">
        <v>1180.2</v>
      </c>
      <c r="AD24" s="142">
        <v>1165.3499999999999</v>
      </c>
      <c r="AE24" s="142">
        <v>1172.3499999999999</v>
      </c>
    </row>
    <row r="25" spans="1:34" ht="15.75" x14ac:dyDescent="0.25">
      <c r="A25" s="80"/>
      <c r="B25" s="97"/>
      <c r="C25" s="86" t="s">
        <v>4</v>
      </c>
      <c r="D25" s="102">
        <f>I11</f>
        <v>1450</v>
      </c>
      <c r="E25" s="103" t="s">
        <v>5</v>
      </c>
      <c r="F25" s="102">
        <f>I17</f>
        <v>1380</v>
      </c>
      <c r="G25" s="104" t="s">
        <v>6</v>
      </c>
      <c r="H25" s="86">
        <f>D25-F25</f>
        <v>70</v>
      </c>
      <c r="I25" s="86" t="s">
        <v>7</v>
      </c>
      <c r="J25" s="86" t="s">
        <v>8</v>
      </c>
      <c r="K25" s="105" t="s">
        <v>9</v>
      </c>
      <c r="L25" s="99">
        <v>100</v>
      </c>
      <c r="M25" s="86" t="s">
        <v>8</v>
      </c>
      <c r="N25" s="82">
        <f>D11</f>
        <v>5</v>
      </c>
      <c r="O25" s="86" t="s">
        <v>10</v>
      </c>
      <c r="P25" s="104"/>
      <c r="Q25" s="105"/>
      <c r="R25" s="106" t="s">
        <v>9</v>
      </c>
      <c r="S25" s="107">
        <f>H25*L25*N25</f>
        <v>35000</v>
      </c>
      <c r="T25" s="108"/>
      <c r="AA25" s="141">
        <v>42710</v>
      </c>
      <c r="AB25" s="142">
        <v>1170.5</v>
      </c>
      <c r="AC25" s="142">
        <v>1175.3</v>
      </c>
      <c r="AD25" s="142">
        <v>1166.55</v>
      </c>
      <c r="AE25" s="142">
        <v>1169.55</v>
      </c>
    </row>
    <row r="26" spans="1:34" ht="15.75" x14ac:dyDescent="0.25">
      <c r="A26" s="80"/>
      <c r="B26" s="97"/>
      <c r="C26" s="86" t="s">
        <v>26</v>
      </c>
      <c r="D26" s="102">
        <f>I13</f>
        <v>1430</v>
      </c>
      <c r="E26" s="103" t="s">
        <v>5</v>
      </c>
      <c r="F26" s="102">
        <f>I17</f>
        <v>1380</v>
      </c>
      <c r="G26" s="104" t="s">
        <v>6</v>
      </c>
      <c r="H26" s="86">
        <f>D26-F26</f>
        <v>50</v>
      </c>
      <c r="I26" s="86" t="s">
        <v>7</v>
      </c>
      <c r="J26" s="86" t="s">
        <v>8</v>
      </c>
      <c r="K26" s="105" t="s">
        <v>9</v>
      </c>
      <c r="L26" s="99">
        <v>100</v>
      </c>
      <c r="M26" s="86" t="s">
        <v>8</v>
      </c>
      <c r="N26" s="82">
        <f>D13</f>
        <v>5</v>
      </c>
      <c r="O26" s="86" t="s">
        <v>10</v>
      </c>
      <c r="P26" s="104"/>
      <c r="Q26" s="105"/>
      <c r="R26" s="106" t="s">
        <v>9</v>
      </c>
      <c r="S26" s="107">
        <f>H26*L26*N26</f>
        <v>25000</v>
      </c>
      <c r="T26" s="108"/>
      <c r="AA26" s="141">
        <v>42709</v>
      </c>
      <c r="AB26" s="142">
        <v>1177.0999999999999</v>
      </c>
      <c r="AC26" s="142">
        <v>1188.0999999999999</v>
      </c>
      <c r="AD26" s="142">
        <v>1157</v>
      </c>
      <c r="AE26" s="142">
        <v>1170.3499999999999</v>
      </c>
    </row>
    <row r="27" spans="1:34" ht="16.5" thickBot="1" x14ac:dyDescent="0.3">
      <c r="A27" s="80"/>
      <c r="B27" s="97"/>
      <c r="C27" s="86" t="s">
        <v>27</v>
      </c>
      <c r="D27" s="102">
        <f>I15</f>
        <v>1400</v>
      </c>
      <c r="E27" s="103" t="s">
        <v>5</v>
      </c>
      <c r="F27" s="102">
        <f>I17</f>
        <v>1380</v>
      </c>
      <c r="G27" s="104" t="s">
        <v>6</v>
      </c>
      <c r="H27" s="86">
        <f>D27-F27</f>
        <v>20</v>
      </c>
      <c r="I27" s="86" t="s">
        <v>7</v>
      </c>
      <c r="J27" s="86" t="s">
        <v>8</v>
      </c>
      <c r="K27" s="105" t="s">
        <v>9</v>
      </c>
      <c r="L27" s="99">
        <v>100</v>
      </c>
      <c r="M27" s="86" t="s">
        <v>8</v>
      </c>
      <c r="N27" s="82">
        <f>D15</f>
        <v>10</v>
      </c>
      <c r="O27" s="86" t="s">
        <v>10</v>
      </c>
      <c r="P27" s="104"/>
      <c r="Q27" s="105"/>
      <c r="R27" s="106" t="s">
        <v>9</v>
      </c>
      <c r="S27" s="107">
        <f>H27*L27*N27</f>
        <v>20000</v>
      </c>
      <c r="T27" s="108"/>
      <c r="AA27" s="141">
        <v>42706</v>
      </c>
      <c r="AB27" s="142">
        <v>1172.2</v>
      </c>
      <c r="AC27" s="142">
        <v>1178.1500000000001</v>
      </c>
      <c r="AD27" s="142">
        <v>1166.5</v>
      </c>
      <c r="AE27" s="142">
        <v>1175.4000000000001</v>
      </c>
    </row>
    <row r="28" spans="1:34" ht="16.5" thickBot="1" x14ac:dyDescent="0.3">
      <c r="A28" s="80"/>
      <c r="B28" s="97"/>
      <c r="C28" s="87" t="s">
        <v>11</v>
      </c>
      <c r="D28" s="86"/>
      <c r="E28" s="98"/>
      <c r="F28" s="86"/>
      <c r="G28" s="86"/>
      <c r="H28" s="86"/>
      <c r="I28" s="86"/>
      <c r="J28" s="86"/>
      <c r="K28" s="86"/>
      <c r="L28" s="99"/>
      <c r="M28" s="86"/>
      <c r="N28" s="86"/>
      <c r="O28" s="86"/>
      <c r="P28" s="104"/>
      <c r="Q28" s="109"/>
      <c r="R28" s="110" t="s">
        <v>9</v>
      </c>
      <c r="S28" s="111">
        <f>S23+S24+S25+S26+S27</f>
        <v>180000</v>
      </c>
      <c r="T28" s="80"/>
      <c r="AA28" s="141">
        <v>42705</v>
      </c>
      <c r="AB28" s="142">
        <v>1173.3</v>
      </c>
      <c r="AC28" s="142">
        <v>1176.7</v>
      </c>
      <c r="AD28" s="142">
        <v>1160.5</v>
      </c>
      <c r="AE28" s="142">
        <v>1171.95</v>
      </c>
    </row>
    <row r="29" spans="1:34" ht="15" x14ac:dyDescent="0.2">
      <c r="A29" s="80"/>
      <c r="B29" s="97"/>
      <c r="C29" s="86"/>
      <c r="D29" s="86"/>
      <c r="E29" s="98"/>
      <c r="F29" s="86"/>
      <c r="G29" s="86"/>
      <c r="H29" s="86"/>
      <c r="I29" s="86"/>
      <c r="J29" s="86"/>
      <c r="K29" s="86"/>
      <c r="L29" s="99"/>
      <c r="M29" s="86"/>
      <c r="N29" s="86"/>
      <c r="O29" s="86"/>
      <c r="P29" s="104"/>
      <c r="Q29" s="105"/>
      <c r="R29" s="100"/>
      <c r="S29" s="112"/>
      <c r="T29" s="80"/>
    </row>
    <row r="30" spans="1:34" ht="15" x14ac:dyDescent="0.2">
      <c r="A30" s="80"/>
      <c r="B30" s="97" t="s">
        <v>16</v>
      </c>
      <c r="C30" s="87" t="s">
        <v>14</v>
      </c>
      <c r="D30" s="86"/>
      <c r="E30" s="98"/>
      <c r="F30" s="86"/>
      <c r="G30" s="86"/>
      <c r="H30" s="86"/>
      <c r="I30" s="86"/>
      <c r="J30" s="86"/>
      <c r="K30" s="86"/>
      <c r="L30" s="99"/>
      <c r="M30" s="86"/>
      <c r="N30" s="86"/>
      <c r="O30" s="86"/>
      <c r="P30" s="104"/>
      <c r="Q30" s="105"/>
      <c r="R30" s="100"/>
      <c r="S30" s="112"/>
      <c r="T30" s="80"/>
      <c r="AA30" s="205" t="s">
        <v>48</v>
      </c>
      <c r="AB30" s="205"/>
      <c r="AC30" s="205"/>
      <c r="AD30" s="205"/>
      <c r="AE30" s="205"/>
      <c r="AF30" s="205"/>
      <c r="AG30" s="205"/>
      <c r="AH30" s="205"/>
    </row>
    <row r="31" spans="1:34" ht="15.75" x14ac:dyDescent="0.25">
      <c r="A31" s="80"/>
      <c r="B31" s="97"/>
      <c r="C31" s="86" t="s">
        <v>2</v>
      </c>
      <c r="D31" s="113">
        <f>I5</f>
        <v>1550</v>
      </c>
      <c r="E31" s="103" t="s">
        <v>5</v>
      </c>
      <c r="F31" s="114">
        <f>I7</f>
        <v>1490</v>
      </c>
      <c r="G31" s="104" t="s">
        <v>6</v>
      </c>
      <c r="H31" s="82">
        <f>D31-F31</f>
        <v>60</v>
      </c>
      <c r="I31" s="82" t="s">
        <v>7</v>
      </c>
      <c r="J31" s="82" t="s">
        <v>8</v>
      </c>
      <c r="K31" s="115" t="s">
        <v>9</v>
      </c>
      <c r="L31" s="99">
        <v>100</v>
      </c>
      <c r="M31" s="82" t="s">
        <v>8</v>
      </c>
      <c r="N31" s="82">
        <f>D7</f>
        <v>5</v>
      </c>
      <c r="O31" s="82" t="s">
        <v>10</v>
      </c>
      <c r="P31" s="104"/>
      <c r="Q31" s="86"/>
      <c r="R31" s="106" t="s">
        <v>9</v>
      </c>
      <c r="S31" s="116">
        <f>H31*L31*N31</f>
        <v>30000</v>
      </c>
      <c r="T31" s="80"/>
      <c r="AA31" s="140" t="s">
        <v>43</v>
      </c>
      <c r="AB31" s="140" t="s">
        <v>44</v>
      </c>
      <c r="AC31" s="140" t="s">
        <v>45</v>
      </c>
      <c r="AD31" s="140" t="s">
        <v>46</v>
      </c>
      <c r="AE31" s="140" t="s">
        <v>47</v>
      </c>
      <c r="AF31" s="140" t="s">
        <v>49</v>
      </c>
      <c r="AG31" s="140" t="s">
        <v>50</v>
      </c>
      <c r="AH31" s="140" t="s">
        <v>51</v>
      </c>
    </row>
    <row r="32" spans="1:34" ht="15.75" x14ac:dyDescent="0.25">
      <c r="A32" s="80"/>
      <c r="B32" s="97"/>
      <c r="C32" s="86" t="s">
        <v>3</v>
      </c>
      <c r="D32" s="113">
        <f>I5</f>
        <v>1550</v>
      </c>
      <c r="E32" s="103" t="s">
        <v>5</v>
      </c>
      <c r="F32" s="114">
        <f>I9</f>
        <v>1470</v>
      </c>
      <c r="G32" s="104" t="s">
        <v>6</v>
      </c>
      <c r="H32" s="82">
        <f>D32-F32</f>
        <v>80</v>
      </c>
      <c r="I32" s="82" t="s">
        <v>7</v>
      </c>
      <c r="J32" s="82" t="s">
        <v>8</v>
      </c>
      <c r="K32" s="115" t="s">
        <v>9</v>
      </c>
      <c r="L32" s="99">
        <v>100</v>
      </c>
      <c r="M32" s="82" t="s">
        <v>8</v>
      </c>
      <c r="N32" s="82">
        <f>D9</f>
        <v>5</v>
      </c>
      <c r="O32" s="82" t="s">
        <v>10</v>
      </c>
      <c r="P32" s="104"/>
      <c r="Q32" s="86"/>
      <c r="R32" s="106" t="s">
        <v>9</v>
      </c>
      <c r="S32" s="117">
        <f>H32*L32*N32</f>
        <v>40000</v>
      </c>
      <c r="T32" s="80"/>
      <c r="AA32" s="141">
        <v>42711</v>
      </c>
      <c r="AB32" s="142">
        <v>22707</v>
      </c>
      <c r="AC32" s="142">
        <v>22852</v>
      </c>
      <c r="AD32" s="142">
        <v>22705</v>
      </c>
      <c r="AE32" s="142">
        <v>22794</v>
      </c>
      <c r="AF32" s="142">
        <v>129</v>
      </c>
      <c r="AG32" s="142">
        <v>76979</v>
      </c>
      <c r="AH32" s="142">
        <v>136459</v>
      </c>
    </row>
    <row r="33" spans="1:34" ht="15.75" x14ac:dyDescent="0.25">
      <c r="A33" s="80"/>
      <c r="B33" s="97"/>
      <c r="C33" s="86" t="s">
        <v>4</v>
      </c>
      <c r="D33" s="113">
        <f>I5</f>
        <v>1550</v>
      </c>
      <c r="E33" s="103" t="s">
        <v>5</v>
      </c>
      <c r="F33" s="114">
        <f>I11</f>
        <v>1450</v>
      </c>
      <c r="G33" s="104" t="s">
        <v>6</v>
      </c>
      <c r="H33" s="82">
        <f>D33-F33</f>
        <v>100</v>
      </c>
      <c r="I33" s="82" t="s">
        <v>7</v>
      </c>
      <c r="J33" s="82" t="s">
        <v>8</v>
      </c>
      <c r="K33" s="115" t="s">
        <v>9</v>
      </c>
      <c r="L33" s="99">
        <v>100</v>
      </c>
      <c r="M33" s="82" t="s">
        <v>8</v>
      </c>
      <c r="N33" s="82">
        <f>D11</f>
        <v>5</v>
      </c>
      <c r="O33" s="82" t="s">
        <v>10</v>
      </c>
      <c r="P33" s="104"/>
      <c r="Q33" s="86"/>
      <c r="R33" s="106" t="s">
        <v>9</v>
      </c>
      <c r="S33" s="117">
        <f>H33*L33*N33</f>
        <v>50000</v>
      </c>
      <c r="T33" s="80"/>
      <c r="AA33" s="141">
        <v>42710</v>
      </c>
      <c r="AB33" s="142">
        <v>22596</v>
      </c>
      <c r="AC33" s="142">
        <v>22796</v>
      </c>
      <c r="AD33" s="142">
        <v>22564</v>
      </c>
      <c r="AE33" s="142">
        <v>22705</v>
      </c>
      <c r="AF33" s="142">
        <v>185</v>
      </c>
      <c r="AG33" s="142">
        <v>92016</v>
      </c>
      <c r="AH33" s="142">
        <v>140690</v>
      </c>
    </row>
    <row r="34" spans="1:34" ht="15.75" x14ac:dyDescent="0.25">
      <c r="A34" s="80"/>
      <c r="B34" s="97"/>
      <c r="C34" s="86" t="s">
        <v>26</v>
      </c>
      <c r="D34" s="113">
        <f>I5</f>
        <v>1550</v>
      </c>
      <c r="E34" s="103" t="s">
        <v>5</v>
      </c>
      <c r="F34" s="114">
        <f>I13</f>
        <v>1430</v>
      </c>
      <c r="G34" s="104" t="s">
        <v>6</v>
      </c>
      <c r="H34" s="82">
        <f>D34-F34</f>
        <v>120</v>
      </c>
      <c r="I34" s="82" t="s">
        <v>7</v>
      </c>
      <c r="J34" s="82" t="s">
        <v>8</v>
      </c>
      <c r="K34" s="115" t="s">
        <v>9</v>
      </c>
      <c r="L34" s="99">
        <v>100</v>
      </c>
      <c r="M34" s="82" t="s">
        <v>8</v>
      </c>
      <c r="N34" s="82">
        <f>D13</f>
        <v>5</v>
      </c>
      <c r="O34" s="82" t="s">
        <v>10</v>
      </c>
      <c r="P34" s="104"/>
      <c r="Q34" s="86"/>
      <c r="R34" s="106" t="s">
        <v>9</v>
      </c>
      <c r="S34" s="117">
        <f>H34*L34*N34</f>
        <v>60000</v>
      </c>
      <c r="T34" s="80"/>
      <c r="AA34" s="141">
        <v>42709</v>
      </c>
      <c r="AB34" s="142">
        <v>22555</v>
      </c>
      <c r="AC34" s="142">
        <v>22710</v>
      </c>
      <c r="AD34" s="142">
        <v>22375</v>
      </c>
      <c r="AE34" s="142">
        <v>22580</v>
      </c>
      <c r="AF34" s="142">
        <v>127</v>
      </c>
      <c r="AG34" s="142">
        <v>119166</v>
      </c>
      <c r="AH34" s="142">
        <v>141746</v>
      </c>
    </row>
    <row r="35" spans="1:34" ht="16.5" thickBot="1" x14ac:dyDescent="0.3">
      <c r="A35" s="80"/>
      <c r="B35" s="97"/>
      <c r="C35" s="86" t="s">
        <v>27</v>
      </c>
      <c r="D35" s="113">
        <f>I5</f>
        <v>1550</v>
      </c>
      <c r="E35" s="103" t="s">
        <v>5</v>
      </c>
      <c r="F35" s="114">
        <f>I15</f>
        <v>1400</v>
      </c>
      <c r="G35" s="104" t="s">
        <v>6</v>
      </c>
      <c r="H35" s="82">
        <f>D35-F35</f>
        <v>150</v>
      </c>
      <c r="I35" s="82" t="s">
        <v>7</v>
      </c>
      <c r="J35" s="82" t="s">
        <v>8</v>
      </c>
      <c r="K35" s="115" t="s">
        <v>9</v>
      </c>
      <c r="L35" s="99">
        <v>100</v>
      </c>
      <c r="M35" s="82" t="s">
        <v>8</v>
      </c>
      <c r="N35" s="82">
        <f>D15</f>
        <v>10</v>
      </c>
      <c r="O35" s="82" t="s">
        <v>10</v>
      </c>
      <c r="P35" s="104"/>
      <c r="Q35" s="86"/>
      <c r="R35" s="106" t="s">
        <v>9</v>
      </c>
      <c r="S35" s="117">
        <f>H35*L35*N35</f>
        <v>150000</v>
      </c>
      <c r="T35" s="80"/>
      <c r="AA35" s="141">
        <v>42706</v>
      </c>
      <c r="AB35" s="142">
        <v>22891</v>
      </c>
      <c r="AC35" s="142">
        <v>22908</v>
      </c>
      <c r="AD35" s="142">
        <v>22532</v>
      </c>
      <c r="AE35" s="142">
        <v>22575</v>
      </c>
      <c r="AF35" s="142">
        <v>-375</v>
      </c>
      <c r="AG35" s="142">
        <v>100464</v>
      </c>
      <c r="AH35" s="142">
        <v>141605</v>
      </c>
    </row>
    <row r="36" spans="1:34" ht="16.5" thickBot="1" x14ac:dyDescent="0.3">
      <c r="A36" s="80"/>
      <c r="B36" s="97"/>
      <c r="C36" s="87" t="s">
        <v>12</v>
      </c>
      <c r="D36" s="82"/>
      <c r="E36" s="86"/>
      <c r="F36" s="82"/>
      <c r="G36" s="104"/>
      <c r="H36" s="82"/>
      <c r="I36" s="82"/>
      <c r="J36" s="82"/>
      <c r="K36" s="82"/>
      <c r="L36" s="86"/>
      <c r="M36" s="82"/>
      <c r="N36" s="86"/>
      <c r="O36" s="82"/>
      <c r="P36" s="104"/>
      <c r="Q36" s="86"/>
      <c r="R36" s="118" t="s">
        <v>9</v>
      </c>
      <c r="S36" s="119">
        <f>S31+S32+S33+S34+S35</f>
        <v>330000</v>
      </c>
      <c r="T36" s="80"/>
      <c r="AA36" s="141">
        <v>42705</v>
      </c>
      <c r="AB36" s="142">
        <v>22829</v>
      </c>
      <c r="AC36" s="142">
        <v>23018</v>
      </c>
      <c r="AD36" s="142">
        <v>22792</v>
      </c>
      <c r="AE36" s="142">
        <v>22893</v>
      </c>
      <c r="AF36" s="142">
        <v>124</v>
      </c>
      <c r="AG36" s="142">
        <v>102236</v>
      </c>
      <c r="AH36" s="142">
        <v>139381</v>
      </c>
    </row>
    <row r="37" spans="1:34" ht="15.75" x14ac:dyDescent="0.25">
      <c r="A37" s="80"/>
      <c r="B37" s="97"/>
      <c r="C37" s="86"/>
      <c r="D37" s="82"/>
      <c r="E37" s="86"/>
      <c r="F37" s="82"/>
      <c r="G37" s="104"/>
      <c r="H37" s="82"/>
      <c r="I37" s="82"/>
      <c r="J37" s="82"/>
      <c r="K37" s="82"/>
      <c r="L37" s="86"/>
      <c r="M37" s="82"/>
      <c r="N37" s="86"/>
      <c r="O37" s="82"/>
      <c r="P37" s="104"/>
      <c r="Q37" s="86"/>
      <c r="R37" s="106"/>
      <c r="S37" s="117"/>
      <c r="T37" s="80"/>
    </row>
    <row r="38" spans="1:34" ht="15.75" x14ac:dyDescent="0.25">
      <c r="A38" s="80"/>
      <c r="B38" s="97" t="s">
        <v>17</v>
      </c>
      <c r="C38" s="87" t="s">
        <v>18</v>
      </c>
      <c r="D38" s="82"/>
      <c r="E38" s="86"/>
      <c r="F38" s="82"/>
      <c r="G38" s="104"/>
      <c r="H38" s="82"/>
      <c r="I38" s="82"/>
      <c r="J38" s="82"/>
      <c r="K38" s="82"/>
      <c r="L38" s="86"/>
      <c r="M38" s="82"/>
      <c r="N38" s="86"/>
      <c r="O38" s="82"/>
      <c r="P38" s="104"/>
      <c r="Q38" s="86"/>
      <c r="R38" s="106"/>
      <c r="S38" s="117"/>
      <c r="T38" s="80"/>
      <c r="AA38" s="205" t="s">
        <v>52</v>
      </c>
      <c r="AB38" s="205"/>
      <c r="AC38" s="205"/>
      <c r="AD38" s="205"/>
      <c r="AE38" s="205"/>
      <c r="AF38" s="205"/>
      <c r="AG38" s="205"/>
    </row>
    <row r="39" spans="1:34" ht="15.75" x14ac:dyDescent="0.25">
      <c r="A39" s="80"/>
      <c r="B39" s="97"/>
      <c r="C39" s="86" t="s">
        <v>29</v>
      </c>
      <c r="D39" s="86"/>
      <c r="E39" s="86"/>
      <c r="F39" s="86"/>
      <c r="G39" s="210">
        <v>2000</v>
      </c>
      <c r="H39" s="210"/>
      <c r="I39" s="120"/>
      <c r="J39" s="86"/>
      <c r="K39" s="86"/>
      <c r="L39" s="86"/>
      <c r="M39" s="86"/>
      <c r="N39" s="86"/>
      <c r="O39" s="86"/>
      <c r="P39" s="86"/>
      <c r="Q39" s="86"/>
      <c r="R39" s="106"/>
      <c r="S39" s="121"/>
      <c r="T39" s="80"/>
      <c r="AA39" s="140" t="s">
        <v>43</v>
      </c>
      <c r="AB39" s="140" t="s">
        <v>44</v>
      </c>
      <c r="AC39" s="140" t="s">
        <v>45</v>
      </c>
      <c r="AD39" s="140" t="s">
        <v>46</v>
      </c>
      <c r="AE39" s="140" t="s">
        <v>47</v>
      </c>
      <c r="AF39" s="140" t="s">
        <v>49</v>
      </c>
      <c r="AG39" s="140" t="s">
        <v>50</v>
      </c>
    </row>
    <row r="40" spans="1:34" ht="15.75" x14ac:dyDescent="0.25">
      <c r="A40" s="80"/>
      <c r="B40" s="97"/>
      <c r="C40" s="86" t="str">
        <f>"Total Lot yang diperdagangkan  "&amp;D17&amp;"  Lot"</f>
        <v>Total Lot yang diperdagangkan  30  Lot</v>
      </c>
      <c r="D40" s="86"/>
      <c r="E40" s="86"/>
      <c r="F40" s="86"/>
      <c r="G40" s="86"/>
      <c r="H40" s="114"/>
      <c r="I40" s="122"/>
      <c r="J40" s="86"/>
      <c r="K40" s="86"/>
      <c r="L40" s="86"/>
      <c r="M40" s="86"/>
      <c r="N40" s="86"/>
      <c r="O40" s="86"/>
      <c r="P40" s="86"/>
      <c r="Q40" s="86"/>
      <c r="R40" s="106"/>
      <c r="S40" s="121"/>
      <c r="T40" s="80"/>
      <c r="AA40" s="141">
        <v>42711</v>
      </c>
      <c r="AB40" s="142">
        <v>18385</v>
      </c>
      <c r="AC40" s="142">
        <v>18625</v>
      </c>
      <c r="AD40" s="142">
        <v>18375</v>
      </c>
      <c r="AE40" s="142">
        <v>18580</v>
      </c>
      <c r="AF40" s="142">
        <v>195</v>
      </c>
      <c r="AG40" s="142">
        <v>123551</v>
      </c>
    </row>
    <row r="41" spans="1:34" ht="15.75" x14ac:dyDescent="0.25">
      <c r="A41" s="80"/>
      <c r="B41" s="97"/>
      <c r="C41" s="86" t="str">
        <f>"Maka jaminan yang dibutuhkan  :  $. 2.000 * " &amp;D17&amp;" Lot"</f>
        <v>Maka jaminan yang dibutuhkan  :  $. 2.000 * 30 Lot</v>
      </c>
      <c r="D41" s="86"/>
      <c r="E41" s="86"/>
      <c r="F41" s="86"/>
      <c r="G41" s="86"/>
      <c r="H41" s="86"/>
      <c r="I41" s="82"/>
      <c r="J41" s="86"/>
      <c r="K41" s="82"/>
      <c r="L41" s="82"/>
      <c r="M41" s="86"/>
      <c r="N41" s="86"/>
      <c r="O41" s="86"/>
      <c r="P41" s="104"/>
      <c r="Q41" s="104"/>
      <c r="R41" s="123" t="s">
        <v>9</v>
      </c>
      <c r="S41" s="117">
        <f>D17*G39</f>
        <v>60000</v>
      </c>
      <c r="T41" s="80"/>
      <c r="AA41" s="141">
        <v>42710</v>
      </c>
      <c r="AB41" s="142">
        <v>18445</v>
      </c>
      <c r="AC41" s="142">
        <v>18490</v>
      </c>
      <c r="AD41" s="142">
        <v>18310</v>
      </c>
      <c r="AE41" s="142">
        <v>18415</v>
      </c>
      <c r="AF41" s="142">
        <v>195</v>
      </c>
      <c r="AG41" s="142">
        <v>174079</v>
      </c>
    </row>
    <row r="42" spans="1:34" ht="15.75" x14ac:dyDescent="0.25">
      <c r="A42" s="80"/>
      <c r="B42" s="97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106"/>
      <c r="S42" s="121"/>
      <c r="T42" s="80"/>
      <c r="AA42" s="141">
        <v>42709</v>
      </c>
      <c r="AB42" s="142">
        <v>18300</v>
      </c>
      <c r="AC42" s="142">
        <v>18565</v>
      </c>
      <c r="AD42" s="142">
        <v>18225</v>
      </c>
      <c r="AE42" s="142">
        <v>18415</v>
      </c>
      <c r="AF42" s="142">
        <v>95</v>
      </c>
      <c r="AG42" s="142">
        <v>142508</v>
      </c>
    </row>
    <row r="43" spans="1:34" ht="15.75" x14ac:dyDescent="0.25">
      <c r="A43" s="80"/>
      <c r="B43" s="97"/>
      <c r="C43" s="87" t="s">
        <v>1</v>
      </c>
      <c r="D43" s="86"/>
      <c r="E43" s="86"/>
      <c r="F43" s="86"/>
      <c r="G43" s="86"/>
      <c r="H43" s="105"/>
      <c r="I43" s="86"/>
      <c r="J43" s="86"/>
      <c r="K43" s="124"/>
      <c r="L43" s="124"/>
      <c r="M43" s="86"/>
      <c r="N43" s="105"/>
      <c r="O43" s="125"/>
      <c r="P43" s="104"/>
      <c r="Q43" s="86"/>
      <c r="R43" s="106" t="s">
        <v>9</v>
      </c>
      <c r="S43" s="126">
        <f>S28</f>
        <v>180000</v>
      </c>
      <c r="T43" s="80"/>
      <c r="AA43" s="141">
        <v>42706</v>
      </c>
      <c r="AB43" s="142">
        <v>18450</v>
      </c>
      <c r="AC43" s="142">
        <v>18475</v>
      </c>
      <c r="AD43" s="142">
        <v>18245</v>
      </c>
      <c r="AE43" s="142">
        <v>18365</v>
      </c>
      <c r="AF43" s="142">
        <v>-55</v>
      </c>
      <c r="AG43" s="142">
        <v>125910</v>
      </c>
    </row>
    <row r="44" spans="1:34" ht="16.5" thickBot="1" x14ac:dyDescent="0.3">
      <c r="A44" s="80"/>
      <c r="B44" s="127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9"/>
      <c r="O44" s="130"/>
      <c r="P44" s="131"/>
      <c r="Q44" s="131"/>
      <c r="R44" s="132"/>
      <c r="S44" s="133"/>
      <c r="T44" s="80"/>
      <c r="AA44" s="141">
        <v>42705</v>
      </c>
      <c r="AB44" s="142">
        <v>18585</v>
      </c>
      <c r="AC44" s="142">
        <v>18750</v>
      </c>
      <c r="AD44" s="142">
        <v>18395</v>
      </c>
      <c r="AE44" s="142">
        <v>18425</v>
      </c>
      <c r="AF44" s="142">
        <v>50</v>
      </c>
      <c r="AG44" s="142">
        <v>166917</v>
      </c>
    </row>
    <row r="45" spans="1:34" ht="16.5" thickBot="1" x14ac:dyDescent="0.25">
      <c r="A45" s="80"/>
      <c r="B45" s="134"/>
      <c r="C45" s="135" t="s">
        <v>13</v>
      </c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7" t="s">
        <v>9</v>
      </c>
      <c r="S45" s="138">
        <f>S41+S43</f>
        <v>240000</v>
      </c>
      <c r="T45" s="80"/>
    </row>
    <row r="46" spans="1:34" ht="12.75" customHeight="1" x14ac:dyDescent="0.2">
      <c r="A46" s="80"/>
      <c r="B46" s="211">
        <f ca="1">TODAY()</f>
        <v>44518</v>
      </c>
      <c r="C46" s="211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1"/>
      <c r="S46" s="80"/>
      <c r="T46" s="80"/>
      <c r="AA46" s="205" t="s">
        <v>53</v>
      </c>
      <c r="AB46" s="205"/>
      <c r="AC46" s="205"/>
      <c r="AD46" s="205"/>
      <c r="AE46" s="205"/>
      <c r="AF46" s="205"/>
      <c r="AG46" s="205"/>
    </row>
    <row r="47" spans="1:34" x14ac:dyDescent="0.2">
      <c r="AA47" s="140" t="s">
        <v>43</v>
      </c>
      <c r="AB47" s="140" t="s">
        <v>44</v>
      </c>
      <c r="AC47" s="140" t="s">
        <v>45</v>
      </c>
      <c r="AD47" s="140" t="s">
        <v>46</v>
      </c>
      <c r="AE47" s="140" t="s">
        <v>47</v>
      </c>
      <c r="AF47" s="140" t="s">
        <v>49</v>
      </c>
      <c r="AG47" s="140" t="s">
        <v>50</v>
      </c>
    </row>
    <row r="48" spans="1:34" x14ac:dyDescent="0.2">
      <c r="AA48" s="141">
        <v>42711</v>
      </c>
      <c r="AB48" s="142">
        <v>0.74739999999999995</v>
      </c>
      <c r="AC48" s="142">
        <v>0.74829999999999997</v>
      </c>
      <c r="AD48" s="142">
        <v>0.74129999999999996</v>
      </c>
      <c r="AE48" s="142">
        <v>0.74790000000000001</v>
      </c>
      <c r="AF48" s="142">
        <v>0</v>
      </c>
      <c r="AG48" s="142">
        <v>0</v>
      </c>
    </row>
    <row r="49" spans="27:33" x14ac:dyDescent="0.2">
      <c r="AA49" s="141">
        <v>42710</v>
      </c>
      <c r="AB49" s="142">
        <v>0.74709999999999999</v>
      </c>
      <c r="AC49" s="142">
        <v>0.748</v>
      </c>
      <c r="AD49" s="142">
        <v>0.74280000000000002</v>
      </c>
      <c r="AE49" s="142">
        <v>0.746</v>
      </c>
      <c r="AF49" s="142">
        <v>0</v>
      </c>
      <c r="AG49" s="142">
        <v>0</v>
      </c>
    </row>
    <row r="50" spans="27:33" x14ac:dyDescent="0.2">
      <c r="AA50" s="141">
        <v>42709</v>
      </c>
      <c r="AB50" s="142">
        <v>0.74390000000000001</v>
      </c>
      <c r="AC50" s="142">
        <v>0.74980000000000002</v>
      </c>
      <c r="AD50" s="142">
        <v>0.74099999999999999</v>
      </c>
      <c r="AE50" s="142">
        <v>0.747</v>
      </c>
      <c r="AF50" s="142">
        <v>0</v>
      </c>
      <c r="AG50" s="142">
        <v>0</v>
      </c>
    </row>
    <row r="51" spans="27:33" x14ac:dyDescent="0.2">
      <c r="AA51" s="141">
        <v>42706</v>
      </c>
      <c r="AB51" s="142">
        <v>0.74209999999999998</v>
      </c>
      <c r="AC51" s="142">
        <v>0.74690000000000001</v>
      </c>
      <c r="AD51" s="142">
        <v>0.74</v>
      </c>
      <c r="AE51" s="142">
        <v>0.74470000000000003</v>
      </c>
      <c r="AF51" s="142">
        <v>0</v>
      </c>
      <c r="AG51" s="142">
        <v>0</v>
      </c>
    </row>
    <row r="52" spans="27:33" x14ac:dyDescent="0.2">
      <c r="AA52" s="141">
        <v>42705</v>
      </c>
      <c r="AB52" s="142">
        <v>0.73860000000000003</v>
      </c>
      <c r="AC52" s="142">
        <v>0.74199999999999999</v>
      </c>
      <c r="AD52" s="142">
        <v>0.7369</v>
      </c>
      <c r="AE52" s="142">
        <v>0.74180000000000001</v>
      </c>
      <c r="AF52" s="142">
        <v>0</v>
      </c>
      <c r="AG52" s="142">
        <v>0</v>
      </c>
    </row>
    <row r="54" spans="27:33" ht="12.75" customHeight="1" x14ac:dyDescent="0.2">
      <c r="AA54" s="205" t="s">
        <v>54</v>
      </c>
      <c r="AB54" s="205"/>
      <c r="AC54" s="205"/>
      <c r="AD54" s="205"/>
      <c r="AE54" s="205"/>
      <c r="AF54" s="205"/>
      <c r="AG54" s="205"/>
    </row>
    <row r="55" spans="27:33" x14ac:dyDescent="0.2">
      <c r="AA55" s="140" t="s">
        <v>43</v>
      </c>
      <c r="AB55" s="140" t="s">
        <v>44</v>
      </c>
      <c r="AC55" s="140" t="s">
        <v>45</v>
      </c>
      <c r="AD55" s="140" t="s">
        <v>46</v>
      </c>
      <c r="AE55" s="140" t="s">
        <v>47</v>
      </c>
      <c r="AF55" s="140" t="s">
        <v>49</v>
      </c>
      <c r="AG55" s="140" t="s">
        <v>50</v>
      </c>
    </row>
    <row r="56" spans="27:33" x14ac:dyDescent="0.2">
      <c r="AA56" s="141">
        <v>42711</v>
      </c>
      <c r="AB56" s="142">
        <v>1.0718000000000001</v>
      </c>
      <c r="AC56" s="142">
        <v>1.0768</v>
      </c>
      <c r="AD56" s="142">
        <v>1.0707</v>
      </c>
      <c r="AE56" s="142">
        <v>1.0762</v>
      </c>
      <c r="AF56" s="142">
        <v>0</v>
      </c>
      <c r="AG56" s="142">
        <v>0</v>
      </c>
    </row>
    <row r="57" spans="27:33" x14ac:dyDescent="0.2">
      <c r="AA57" s="141">
        <v>42710</v>
      </c>
      <c r="AB57" s="142">
        <v>1.0754999999999999</v>
      </c>
      <c r="AC57" s="142">
        <v>1.0785</v>
      </c>
      <c r="AD57" s="142">
        <v>1.0698000000000001</v>
      </c>
      <c r="AE57" s="142">
        <v>1.0721000000000001</v>
      </c>
      <c r="AF57" s="142">
        <v>0</v>
      </c>
      <c r="AG57" s="142">
        <v>0</v>
      </c>
    </row>
    <row r="58" spans="27:33" x14ac:dyDescent="0.2">
      <c r="AA58" s="141">
        <v>42709</v>
      </c>
      <c r="AB58" s="142">
        <v>1.0566</v>
      </c>
      <c r="AC58" s="142">
        <v>1.0795999999999999</v>
      </c>
      <c r="AD58" s="142">
        <v>1.0535000000000001</v>
      </c>
      <c r="AE58" s="142">
        <v>1.0762</v>
      </c>
      <c r="AF58" s="142">
        <v>0</v>
      </c>
      <c r="AG58" s="142">
        <v>0</v>
      </c>
    </row>
    <row r="59" spans="27:33" x14ac:dyDescent="0.2">
      <c r="AA59" s="141">
        <v>42706</v>
      </c>
      <c r="AB59" s="142">
        <v>1.0661</v>
      </c>
      <c r="AC59" s="142">
        <v>1.069</v>
      </c>
      <c r="AD59" s="142">
        <v>1.0623</v>
      </c>
      <c r="AE59" s="142">
        <v>1.0662</v>
      </c>
      <c r="AF59" s="142">
        <v>0</v>
      </c>
      <c r="AG59" s="142">
        <v>0</v>
      </c>
    </row>
    <row r="60" spans="27:33" x14ac:dyDescent="0.2">
      <c r="AA60" s="141">
        <v>42705</v>
      </c>
      <c r="AB60" s="142">
        <v>1.0589</v>
      </c>
      <c r="AC60" s="142">
        <v>1.0663</v>
      </c>
      <c r="AD60" s="142">
        <v>1.0583</v>
      </c>
      <c r="AE60" s="142">
        <v>1.0659000000000001</v>
      </c>
      <c r="AF60" s="142">
        <v>0</v>
      </c>
      <c r="AG60" s="142">
        <v>0</v>
      </c>
    </row>
    <row r="62" spans="27:33" ht="12.75" customHeight="1" x14ac:dyDescent="0.2">
      <c r="AA62" s="205" t="s">
        <v>55</v>
      </c>
      <c r="AB62" s="205"/>
      <c r="AC62" s="205"/>
      <c r="AD62" s="205"/>
      <c r="AE62" s="205"/>
      <c r="AF62" s="205"/>
      <c r="AG62" s="205"/>
    </row>
    <row r="63" spans="27:33" x14ac:dyDescent="0.2">
      <c r="AA63" s="140" t="s">
        <v>43</v>
      </c>
      <c r="AB63" s="140" t="s">
        <v>44</v>
      </c>
      <c r="AC63" s="140" t="s">
        <v>45</v>
      </c>
      <c r="AD63" s="140" t="s">
        <v>46</v>
      </c>
      <c r="AE63" s="140" t="s">
        <v>47</v>
      </c>
      <c r="AF63" s="140" t="s">
        <v>49</v>
      </c>
      <c r="AG63" s="140" t="s">
        <v>50</v>
      </c>
    </row>
    <row r="64" spans="27:33" x14ac:dyDescent="0.2">
      <c r="AA64" s="141">
        <v>42711</v>
      </c>
      <c r="AB64" s="142">
        <v>1.2625999999999999</v>
      </c>
      <c r="AC64" s="142">
        <v>1.2673000000000001</v>
      </c>
      <c r="AD64" s="142">
        <v>1.2568999999999999</v>
      </c>
      <c r="AE64" s="142">
        <v>1.2625999999999999</v>
      </c>
      <c r="AF64" s="142">
        <v>0</v>
      </c>
      <c r="AG64" s="142">
        <v>0</v>
      </c>
    </row>
    <row r="65" spans="27:33" x14ac:dyDescent="0.2">
      <c r="AA65" s="141">
        <v>42710</v>
      </c>
      <c r="AB65" s="142">
        <v>1.2724</v>
      </c>
      <c r="AC65" s="142">
        <v>1.2775000000000001</v>
      </c>
      <c r="AD65" s="142">
        <v>1.2654000000000001</v>
      </c>
      <c r="AE65" s="142">
        <v>1.2675000000000001</v>
      </c>
      <c r="AF65" s="142">
        <v>0</v>
      </c>
      <c r="AG65" s="142">
        <v>0</v>
      </c>
    </row>
    <row r="66" spans="27:33" x14ac:dyDescent="0.2">
      <c r="AA66" s="141">
        <v>42709</v>
      </c>
      <c r="AB66" s="142">
        <v>1.2668999999999999</v>
      </c>
      <c r="AC66" s="142">
        <v>1.2744</v>
      </c>
      <c r="AD66" s="142">
        <v>1.2654000000000001</v>
      </c>
      <c r="AE66" s="142">
        <v>1.2726</v>
      </c>
      <c r="AF66" s="142">
        <v>0</v>
      </c>
      <c r="AG66" s="142">
        <v>0</v>
      </c>
    </row>
    <row r="67" spans="27:33" x14ac:dyDescent="0.2">
      <c r="AA67" s="141">
        <v>42706</v>
      </c>
      <c r="AB67" s="142">
        <v>1.2586999999999999</v>
      </c>
      <c r="AC67" s="142">
        <v>1.2726999999999999</v>
      </c>
      <c r="AD67" s="142">
        <v>1.2567999999999999</v>
      </c>
      <c r="AE67" s="142">
        <v>1.2726999999999999</v>
      </c>
      <c r="AF67" s="142">
        <v>0</v>
      </c>
      <c r="AG67" s="142">
        <v>0</v>
      </c>
    </row>
    <row r="68" spans="27:33" x14ac:dyDescent="0.2">
      <c r="AA68" s="141">
        <v>42705</v>
      </c>
      <c r="AB68" s="142">
        <v>1.2513000000000001</v>
      </c>
      <c r="AC68" s="142">
        <v>1.2695000000000001</v>
      </c>
      <c r="AD68" s="142">
        <v>1.2504999999999999</v>
      </c>
      <c r="AE68" s="142">
        <v>1.2589999999999999</v>
      </c>
      <c r="AF68" s="142">
        <v>0</v>
      </c>
      <c r="AG68" s="142">
        <v>0</v>
      </c>
    </row>
    <row r="70" spans="27:33" ht="12.75" customHeight="1" x14ac:dyDescent="0.2">
      <c r="AA70" s="205" t="s">
        <v>56</v>
      </c>
      <c r="AB70" s="205"/>
      <c r="AC70" s="205"/>
      <c r="AD70" s="205"/>
      <c r="AE70" s="205"/>
      <c r="AF70" s="205"/>
      <c r="AG70" s="205"/>
    </row>
    <row r="71" spans="27:33" x14ac:dyDescent="0.2">
      <c r="AA71" s="140" t="s">
        <v>43</v>
      </c>
      <c r="AB71" s="140" t="s">
        <v>44</v>
      </c>
      <c r="AC71" s="140" t="s">
        <v>45</v>
      </c>
      <c r="AD71" s="140" t="s">
        <v>46</v>
      </c>
      <c r="AE71" s="140" t="s">
        <v>47</v>
      </c>
      <c r="AF71" s="140" t="s">
        <v>49</v>
      </c>
      <c r="AG71" s="140" t="s">
        <v>50</v>
      </c>
    </row>
    <row r="72" spans="27:33" x14ac:dyDescent="0.2">
      <c r="AA72" s="141">
        <v>42711</v>
      </c>
      <c r="AB72" s="142">
        <v>1.0101</v>
      </c>
      <c r="AC72" s="142">
        <v>1.0109999999999999</v>
      </c>
      <c r="AD72" s="142">
        <v>1.0063</v>
      </c>
      <c r="AE72" s="142">
        <v>1.0068999999999999</v>
      </c>
      <c r="AF72" s="142">
        <v>0</v>
      </c>
      <c r="AG72" s="142">
        <v>0</v>
      </c>
    </row>
    <row r="73" spans="27:33" x14ac:dyDescent="0.2">
      <c r="AA73" s="141">
        <v>42710</v>
      </c>
      <c r="AB73" s="142">
        <v>1.0071000000000001</v>
      </c>
      <c r="AC73" s="142">
        <v>1.0115000000000001</v>
      </c>
      <c r="AD73" s="142">
        <v>1.0044</v>
      </c>
      <c r="AE73" s="142">
        <v>1.0101</v>
      </c>
      <c r="AF73" s="142">
        <v>0</v>
      </c>
      <c r="AG73" s="142">
        <v>0</v>
      </c>
    </row>
    <row r="74" spans="27:33" x14ac:dyDescent="0.2">
      <c r="AA74" s="141">
        <v>42709</v>
      </c>
      <c r="AB74" s="142">
        <v>1.0145999999999999</v>
      </c>
      <c r="AC74" s="142">
        <v>1.0177</v>
      </c>
      <c r="AD74" s="142">
        <v>1.0045999999999999</v>
      </c>
      <c r="AE74" s="142">
        <v>1.0067999999999999</v>
      </c>
      <c r="AF74" s="142">
        <v>0</v>
      </c>
      <c r="AG74" s="142">
        <v>0</v>
      </c>
    </row>
    <row r="75" spans="27:33" x14ac:dyDescent="0.2">
      <c r="AA75" s="141">
        <v>42706</v>
      </c>
      <c r="AB75" s="142">
        <v>1.0105</v>
      </c>
      <c r="AC75" s="142">
        <v>1.0123</v>
      </c>
      <c r="AD75" s="142">
        <v>1.0066999999999999</v>
      </c>
      <c r="AE75" s="142">
        <v>1.0105999999999999</v>
      </c>
      <c r="AF75" s="142">
        <v>0</v>
      </c>
      <c r="AG75" s="142">
        <v>0</v>
      </c>
    </row>
    <row r="76" spans="27:33" x14ac:dyDescent="0.2">
      <c r="AA76" s="141">
        <v>42705</v>
      </c>
      <c r="AB76" s="142">
        <v>1.0168999999999999</v>
      </c>
      <c r="AC76" s="142">
        <v>1.0174000000000001</v>
      </c>
      <c r="AD76" s="142">
        <v>1.0101</v>
      </c>
      <c r="AE76" s="142">
        <v>1.0101</v>
      </c>
      <c r="AF76" s="142">
        <v>0</v>
      </c>
      <c r="AG76" s="142">
        <v>0</v>
      </c>
    </row>
    <row r="78" spans="27:33" ht="12.75" customHeight="1" x14ac:dyDescent="0.2">
      <c r="AA78" s="205" t="s">
        <v>57</v>
      </c>
      <c r="AB78" s="205"/>
      <c r="AC78" s="205"/>
      <c r="AD78" s="205"/>
      <c r="AE78" s="205"/>
      <c r="AF78" s="205"/>
      <c r="AG78" s="205"/>
    </row>
    <row r="79" spans="27:33" x14ac:dyDescent="0.2">
      <c r="AA79" s="140" t="s">
        <v>43</v>
      </c>
      <c r="AB79" s="140" t="s">
        <v>44</v>
      </c>
      <c r="AC79" s="140" t="s">
        <v>45</v>
      </c>
      <c r="AD79" s="140" t="s">
        <v>46</v>
      </c>
      <c r="AE79" s="140" t="s">
        <v>47</v>
      </c>
      <c r="AF79" s="140" t="s">
        <v>49</v>
      </c>
      <c r="AG79" s="140" t="s">
        <v>50</v>
      </c>
    </row>
    <row r="80" spans="27:33" x14ac:dyDescent="0.2">
      <c r="AA80" s="141">
        <v>42711</v>
      </c>
      <c r="AB80" s="142">
        <v>114.03</v>
      </c>
      <c r="AC80" s="142">
        <v>114.41</v>
      </c>
      <c r="AD80" s="142">
        <v>113.4</v>
      </c>
      <c r="AE80" s="142">
        <v>113.75</v>
      </c>
      <c r="AF80" s="142">
        <v>0</v>
      </c>
      <c r="AG80" s="142">
        <v>0</v>
      </c>
    </row>
    <row r="81" spans="27:33" x14ac:dyDescent="0.2">
      <c r="AA81" s="141">
        <v>42710</v>
      </c>
      <c r="AB81" s="142">
        <v>113.85</v>
      </c>
      <c r="AC81" s="142">
        <v>114.19</v>
      </c>
      <c r="AD81" s="142">
        <v>113.5</v>
      </c>
      <c r="AE81" s="142">
        <v>114.01</v>
      </c>
      <c r="AF81" s="142">
        <v>0</v>
      </c>
      <c r="AG81" s="142">
        <v>0</v>
      </c>
    </row>
    <row r="82" spans="27:33" x14ac:dyDescent="0.2">
      <c r="AA82" s="141">
        <v>42709</v>
      </c>
      <c r="AB82" s="142">
        <v>113.52</v>
      </c>
      <c r="AC82" s="142">
        <v>114.78</v>
      </c>
      <c r="AD82" s="142">
        <v>113.15</v>
      </c>
      <c r="AE82" s="142">
        <v>113.75</v>
      </c>
      <c r="AF82" s="142">
        <v>0</v>
      </c>
      <c r="AG82" s="142">
        <v>0</v>
      </c>
    </row>
    <row r="83" spans="27:33" x14ac:dyDescent="0.2">
      <c r="AA83" s="141">
        <v>42706</v>
      </c>
      <c r="AB83" s="142">
        <v>113.92</v>
      </c>
      <c r="AC83" s="142">
        <v>114.21</v>
      </c>
      <c r="AD83" s="142">
        <v>113.3</v>
      </c>
      <c r="AE83" s="142">
        <v>113.58</v>
      </c>
      <c r="AF83" s="142">
        <v>0</v>
      </c>
      <c r="AG83" s="142">
        <v>0</v>
      </c>
    </row>
    <row r="84" spans="27:33" x14ac:dyDescent="0.2">
      <c r="AA84" s="141">
        <v>42705</v>
      </c>
      <c r="AB84" s="142">
        <v>114.67</v>
      </c>
      <c r="AC84" s="142">
        <v>114.73</v>
      </c>
      <c r="AD84" s="142">
        <v>113.81</v>
      </c>
      <c r="AE84" s="142">
        <v>114.01</v>
      </c>
      <c r="AF84" s="142">
        <v>0</v>
      </c>
      <c r="AG84" s="142">
        <v>0</v>
      </c>
    </row>
  </sheetData>
  <mergeCells count="35">
    <mergeCell ref="B2:S2"/>
    <mergeCell ref="B4:G4"/>
    <mergeCell ref="K4:L4"/>
    <mergeCell ref="I5:K5"/>
    <mergeCell ref="D7:E8"/>
    <mergeCell ref="I7:K8"/>
    <mergeCell ref="N7:R8"/>
    <mergeCell ref="D9:E10"/>
    <mergeCell ref="I9:K10"/>
    <mergeCell ref="N9:R10"/>
    <mergeCell ref="C18:F18"/>
    <mergeCell ref="D11:E12"/>
    <mergeCell ref="I11:K12"/>
    <mergeCell ref="N11:R12"/>
    <mergeCell ref="D13:E14"/>
    <mergeCell ref="I13:K14"/>
    <mergeCell ref="N13:R14"/>
    <mergeCell ref="B20:Q20"/>
    <mergeCell ref="R20:S20"/>
    <mergeCell ref="G39:H39"/>
    <mergeCell ref="B46:C46"/>
    <mergeCell ref="D15:E16"/>
    <mergeCell ref="I15:K16"/>
    <mergeCell ref="N15:R16"/>
    <mergeCell ref="D17:E17"/>
    <mergeCell ref="I17:K18"/>
    <mergeCell ref="N17:R18"/>
    <mergeCell ref="AA62:AG62"/>
    <mergeCell ref="AA70:AG70"/>
    <mergeCell ref="AA78:AG78"/>
    <mergeCell ref="AA22:AE22"/>
    <mergeCell ref="AA30:AH30"/>
    <mergeCell ref="AA38:AG38"/>
    <mergeCell ref="AA46:AG46"/>
    <mergeCell ref="AA54:AG54"/>
  </mergeCells>
  <phoneticPr fontId="2" type="noConversion"/>
  <pageMargins left="0.75" right="0.75" top="1" bottom="1" header="0.5" footer="0.5"/>
  <pageSetup paperSize="9" orientation="portrait" horizontalDpi="4294967294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57"/>
  <sheetViews>
    <sheetView zoomScale="80" zoomScaleNormal="80" workbookViewId="0">
      <selection activeCell="D6" sqref="D6:E7"/>
    </sheetView>
  </sheetViews>
  <sheetFormatPr defaultRowHeight="12.75" x14ac:dyDescent="0.2"/>
  <cols>
    <col min="1" max="1" width="8.140625" customWidth="1"/>
    <col min="2" max="2" width="3" customWidth="1"/>
    <col min="3" max="3" width="7.85546875" customWidth="1"/>
    <col min="4" max="4" width="9" customWidth="1"/>
    <col min="5" max="5" width="3" customWidth="1"/>
    <col min="6" max="6" width="7.5703125" bestFit="1" customWidth="1"/>
    <col min="7" max="7" width="2" customWidth="1"/>
    <col min="8" max="8" width="5.28515625" customWidth="1"/>
    <col min="9" max="9" width="4.140625" customWidth="1"/>
    <col min="10" max="10" width="1.7109375" customWidth="1"/>
    <col min="11" max="11" width="2.5703125" customWidth="1"/>
    <col min="12" max="12" width="4.42578125" bestFit="1" customWidth="1"/>
    <col min="13" max="13" width="1.5703125" customWidth="1"/>
    <col min="14" max="14" width="4.42578125" customWidth="1"/>
    <col min="15" max="15" width="1.42578125" customWidth="1"/>
    <col min="16" max="16" width="3.5703125" customWidth="1"/>
    <col min="17" max="17" width="1.5703125" customWidth="1"/>
    <col min="18" max="18" width="3.42578125" style="34" customWidth="1"/>
    <col min="19" max="19" width="12.85546875" customWidth="1"/>
    <col min="20" max="20" width="10.42578125" bestFit="1" customWidth="1"/>
    <col min="21" max="22" width="0" hidden="1" customWidth="1"/>
  </cols>
  <sheetData>
    <row r="1" spans="2:22" ht="21" thickBot="1" x14ac:dyDescent="0.35">
      <c r="B1" s="189" t="s">
        <v>60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</row>
    <row r="2" spans="2:22" ht="13.5" thickTop="1" x14ac:dyDescent="0.2"/>
    <row r="3" spans="2:22" x14ac:dyDescent="0.2">
      <c r="B3" s="190" t="s">
        <v>19</v>
      </c>
      <c r="C3" s="190"/>
      <c r="D3" s="190"/>
      <c r="E3" s="190"/>
      <c r="F3" s="190"/>
      <c r="G3" s="190"/>
      <c r="K3" s="190"/>
      <c r="L3" s="190"/>
    </row>
    <row r="4" spans="2:22" x14ac:dyDescent="0.2">
      <c r="D4" s="1"/>
      <c r="I4" s="203">
        <v>1400</v>
      </c>
      <c r="J4" s="203"/>
      <c r="K4" s="203"/>
      <c r="L4" s="24"/>
      <c r="M4" s="25"/>
      <c r="N4" s="25" t="s">
        <v>0</v>
      </c>
      <c r="R4" s="35"/>
    </row>
    <row r="5" spans="2:22" x14ac:dyDescent="0.2">
      <c r="D5" s="2"/>
      <c r="I5" s="25"/>
      <c r="J5" s="25"/>
      <c r="K5" s="25"/>
      <c r="L5" s="14"/>
      <c r="M5" s="25"/>
      <c r="N5" s="25"/>
      <c r="O5" s="25"/>
      <c r="P5" s="25"/>
      <c r="Q5" s="25"/>
      <c r="R5" s="35"/>
    </row>
    <row r="6" spans="2:22" x14ac:dyDescent="0.2">
      <c r="D6" s="180">
        <v>2</v>
      </c>
      <c r="E6" s="180"/>
      <c r="I6" s="204">
        <v>1349</v>
      </c>
      <c r="J6" s="204"/>
      <c r="K6" s="204"/>
      <c r="L6" s="14"/>
      <c r="M6" s="25"/>
      <c r="N6" s="196" t="str">
        <f>"Buy "&amp;D6&amp;" Lot"</f>
        <v>Buy 2 Lot</v>
      </c>
      <c r="O6" s="196"/>
      <c r="P6" s="196"/>
      <c r="Q6" s="196"/>
      <c r="R6" s="196"/>
      <c r="U6" t="s">
        <v>22</v>
      </c>
      <c r="V6">
        <v>10349</v>
      </c>
    </row>
    <row r="7" spans="2:22" ht="6" customHeight="1" x14ac:dyDescent="0.2">
      <c r="D7" s="180"/>
      <c r="E7" s="180"/>
      <c r="I7" s="204"/>
      <c r="J7" s="204"/>
      <c r="K7" s="204"/>
      <c r="L7" s="24"/>
      <c r="M7" s="25"/>
      <c r="N7" s="196"/>
      <c r="O7" s="196"/>
      <c r="P7" s="196"/>
      <c r="Q7" s="196"/>
      <c r="R7" s="196"/>
      <c r="U7" t="s">
        <v>23</v>
      </c>
      <c r="V7" s="43">
        <f>V6-S36</f>
        <v>-141051</v>
      </c>
    </row>
    <row r="8" spans="2:22" x14ac:dyDescent="0.2">
      <c r="D8" s="180">
        <v>2</v>
      </c>
      <c r="E8" s="180"/>
      <c r="I8" s="204">
        <v>1342</v>
      </c>
      <c r="J8" s="204"/>
      <c r="K8" s="204"/>
      <c r="L8" s="14"/>
      <c r="M8" s="25"/>
      <c r="N8" s="196" t="str">
        <f>"Buy "&amp;D8&amp;" Lot"</f>
        <v>Buy 2 Lot</v>
      </c>
      <c r="O8" s="196"/>
      <c r="P8" s="196"/>
      <c r="Q8" s="196"/>
      <c r="R8" s="196"/>
      <c r="T8" s="42"/>
      <c r="U8" t="s">
        <v>24</v>
      </c>
      <c r="V8">
        <f>D20*1000</f>
        <v>25000</v>
      </c>
    </row>
    <row r="9" spans="2:22" ht="6" customHeight="1" x14ac:dyDescent="0.2">
      <c r="D9" s="180"/>
      <c r="E9" s="180"/>
      <c r="I9" s="204"/>
      <c r="J9" s="204"/>
      <c r="K9" s="204"/>
      <c r="L9" s="24"/>
      <c r="M9" s="25"/>
      <c r="N9" s="196"/>
      <c r="O9" s="196"/>
      <c r="P9" s="196"/>
      <c r="Q9" s="196"/>
      <c r="R9" s="196"/>
      <c r="S9" s="58"/>
      <c r="U9" t="s">
        <v>25</v>
      </c>
      <c r="V9" s="43">
        <f>V7-V8</f>
        <v>-166051</v>
      </c>
    </row>
    <row r="10" spans="2:22" x14ac:dyDescent="0.2">
      <c r="D10" s="177">
        <v>2</v>
      </c>
      <c r="E10" s="177"/>
      <c r="I10" s="204">
        <v>1341</v>
      </c>
      <c r="J10" s="204"/>
      <c r="K10" s="204"/>
      <c r="L10" s="14"/>
      <c r="M10" s="25"/>
      <c r="N10" s="196" t="str">
        <f>"Buy "&amp;D10&amp;" Lot"</f>
        <v>Buy 2 Lot</v>
      </c>
      <c r="O10" s="196"/>
      <c r="P10" s="196"/>
      <c r="Q10" s="196"/>
      <c r="R10" s="196"/>
    </row>
    <row r="11" spans="2:22" ht="5.25" customHeight="1" x14ac:dyDescent="0.2">
      <c r="D11" s="177"/>
      <c r="E11" s="177"/>
      <c r="I11" s="204"/>
      <c r="J11" s="204"/>
      <c r="K11" s="204"/>
      <c r="L11" s="24"/>
      <c r="M11" s="25"/>
      <c r="N11" s="196"/>
      <c r="O11" s="196"/>
      <c r="P11" s="196"/>
      <c r="Q11" s="196"/>
      <c r="R11" s="196"/>
    </row>
    <row r="12" spans="2:22" ht="4.5" customHeight="1" x14ac:dyDescent="0.2">
      <c r="D12" s="177">
        <v>5</v>
      </c>
      <c r="E12" s="177"/>
      <c r="I12" s="204">
        <v>1320</v>
      </c>
      <c r="J12" s="204"/>
      <c r="K12" s="204"/>
      <c r="L12" s="14"/>
      <c r="M12" s="25"/>
      <c r="N12" s="196" t="str">
        <f>"Buy "&amp;D12&amp;" Lot"</f>
        <v>Buy 5 Lot</v>
      </c>
      <c r="O12" s="196"/>
      <c r="P12" s="196"/>
      <c r="Q12" s="196"/>
      <c r="R12" s="196"/>
    </row>
    <row r="13" spans="2:22" ht="13.5" customHeight="1" x14ac:dyDescent="0.2">
      <c r="D13" s="177"/>
      <c r="E13" s="177"/>
      <c r="I13" s="204"/>
      <c r="J13" s="204"/>
      <c r="K13" s="204"/>
      <c r="L13" s="24"/>
      <c r="M13" s="25"/>
      <c r="N13" s="196"/>
      <c r="O13" s="196"/>
      <c r="P13" s="196"/>
      <c r="Q13" s="196"/>
      <c r="R13" s="196"/>
    </row>
    <row r="14" spans="2:22" ht="6.75" customHeight="1" x14ac:dyDescent="0.2">
      <c r="D14" s="177">
        <v>10</v>
      </c>
      <c r="E14" s="177"/>
      <c r="I14" s="204">
        <v>1310</v>
      </c>
      <c r="J14" s="204"/>
      <c r="K14" s="204"/>
      <c r="L14" s="24"/>
      <c r="M14" s="25"/>
      <c r="N14" s="196" t="str">
        <f>"Buy "&amp;D14&amp;" Lot"</f>
        <v>Buy 10 Lot</v>
      </c>
      <c r="O14" s="196"/>
      <c r="P14" s="196"/>
      <c r="Q14" s="196"/>
      <c r="R14" s="196"/>
    </row>
    <row r="15" spans="2:22" ht="13.5" customHeight="1" x14ac:dyDescent="0.2">
      <c r="D15" s="177"/>
      <c r="E15" s="177"/>
      <c r="I15" s="204"/>
      <c r="J15" s="204"/>
      <c r="K15" s="204"/>
      <c r="L15" s="24"/>
      <c r="M15" s="25"/>
      <c r="N15" s="196"/>
      <c r="O15" s="196"/>
      <c r="P15" s="196"/>
      <c r="Q15" s="196"/>
      <c r="R15" s="196"/>
    </row>
    <row r="16" spans="2:22" ht="5.25" customHeight="1" x14ac:dyDescent="0.2">
      <c r="D16" s="177">
        <v>15</v>
      </c>
      <c r="E16" s="177"/>
      <c r="I16" s="204">
        <v>1300</v>
      </c>
      <c r="J16" s="204"/>
      <c r="K16" s="204"/>
      <c r="L16" s="24"/>
      <c r="M16" s="25"/>
      <c r="N16" s="196" t="str">
        <f>"Buy "&amp;D16&amp;" Lot"</f>
        <v>Buy 15 Lot</v>
      </c>
      <c r="O16" s="196"/>
      <c r="P16" s="196"/>
      <c r="Q16" s="196"/>
      <c r="R16" s="196"/>
    </row>
    <row r="17" spans="2:20" ht="11.25" customHeight="1" x14ac:dyDescent="0.2">
      <c r="D17" s="177"/>
      <c r="E17" s="177"/>
      <c r="I17" s="204"/>
      <c r="J17" s="204"/>
      <c r="K17" s="204"/>
      <c r="L17" s="24"/>
      <c r="M17" s="25"/>
      <c r="N17" s="196"/>
      <c r="O17" s="196"/>
      <c r="P17" s="196"/>
      <c r="Q17" s="196"/>
      <c r="R17" s="196"/>
    </row>
    <row r="18" spans="2:20" ht="8.25" customHeight="1" x14ac:dyDescent="0.2">
      <c r="D18" s="177">
        <v>20</v>
      </c>
      <c r="E18" s="177"/>
      <c r="I18" s="204">
        <v>1290</v>
      </c>
      <c r="J18" s="204"/>
      <c r="K18" s="204"/>
      <c r="L18" s="24"/>
      <c r="M18" s="25"/>
      <c r="N18" s="196" t="str">
        <f>"Buy "&amp;D18&amp;" Lot"</f>
        <v>Buy 20 Lot</v>
      </c>
      <c r="O18" s="196"/>
      <c r="P18" s="196"/>
      <c r="Q18" s="196"/>
      <c r="R18" s="196"/>
    </row>
    <row r="19" spans="2:20" ht="7.5" customHeight="1" x14ac:dyDescent="0.2">
      <c r="D19" s="177"/>
      <c r="E19" s="177"/>
      <c r="I19" s="204"/>
      <c r="J19" s="204"/>
      <c r="K19" s="204"/>
      <c r="L19" s="24"/>
      <c r="M19" s="25"/>
      <c r="N19" s="196"/>
      <c r="O19" s="196"/>
      <c r="P19" s="196"/>
      <c r="Q19" s="196"/>
      <c r="R19" s="196"/>
    </row>
    <row r="20" spans="2:20" ht="8.25" customHeight="1" x14ac:dyDescent="0.2">
      <c r="B20" s="2"/>
      <c r="C20" s="2"/>
      <c r="D20" s="180">
        <v>25</v>
      </c>
      <c r="E20" s="180"/>
      <c r="F20" s="2"/>
      <c r="G20" s="2"/>
      <c r="I20" s="204">
        <v>1280</v>
      </c>
      <c r="J20" s="204"/>
      <c r="K20" s="204"/>
      <c r="L20" s="14"/>
      <c r="N20" s="196" t="str">
        <f>"Buy "&amp;D20&amp;" Lot"</f>
        <v>Buy 25 Lot</v>
      </c>
      <c r="O20" s="196"/>
      <c r="P20" s="196"/>
      <c r="Q20" s="196"/>
      <c r="R20" s="196"/>
    </row>
    <row r="21" spans="2:20" x14ac:dyDescent="0.2">
      <c r="B21" s="75"/>
      <c r="C21" s="75"/>
      <c r="D21" s="224"/>
      <c r="E21" s="224"/>
      <c r="F21" s="75"/>
      <c r="G21" s="75"/>
      <c r="I21" s="204"/>
      <c r="J21" s="204"/>
      <c r="K21" s="204"/>
      <c r="N21" s="196"/>
      <c r="O21" s="196"/>
      <c r="P21" s="196"/>
      <c r="Q21" s="196"/>
      <c r="R21" s="196"/>
    </row>
    <row r="22" spans="2:20" x14ac:dyDescent="0.2">
      <c r="D22" s="227">
        <f>SUM(D6:D21)</f>
        <v>81</v>
      </c>
      <c r="E22" s="227"/>
      <c r="I22" s="197">
        <v>1250</v>
      </c>
      <c r="J22" s="197"/>
      <c r="K22" s="197"/>
      <c r="N22" s="196" t="s">
        <v>33</v>
      </c>
      <c r="O22" s="196"/>
      <c r="P22" s="196"/>
      <c r="Q22" s="196"/>
      <c r="R22" s="196"/>
      <c r="S22" s="59"/>
    </row>
    <row r="23" spans="2:20" ht="15.75" x14ac:dyDescent="0.25">
      <c r="B23" s="186" t="s">
        <v>32</v>
      </c>
      <c r="C23" s="187"/>
      <c r="D23" s="187"/>
      <c r="E23" s="187"/>
      <c r="F23" s="187"/>
      <c r="G23" s="188"/>
      <c r="I23" s="197"/>
      <c r="J23" s="197"/>
      <c r="K23" s="197"/>
      <c r="N23" s="196"/>
      <c r="O23" s="196"/>
      <c r="P23" s="196"/>
      <c r="Q23" s="196"/>
      <c r="R23" s="196"/>
    </row>
    <row r="24" spans="2:20" ht="13.5" thickBot="1" x14ac:dyDescent="0.25"/>
    <row r="25" spans="2:20" ht="18.75" thickBot="1" x14ac:dyDescent="0.25">
      <c r="B25" s="225" t="s">
        <v>20</v>
      </c>
      <c r="C25" s="226"/>
      <c r="D25" s="226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8" t="s">
        <v>21</v>
      </c>
      <c r="S25" s="229"/>
      <c r="T25" s="70">
        <v>10</v>
      </c>
    </row>
    <row r="26" spans="2:20" x14ac:dyDescent="0.2">
      <c r="B26" s="44"/>
      <c r="C26" s="45"/>
      <c r="D26" s="45"/>
      <c r="E26" s="45"/>
      <c r="F26" s="45"/>
      <c r="G26" s="45"/>
      <c r="H26" s="45"/>
      <c r="I26" s="45"/>
      <c r="J26" s="45"/>
      <c r="K26" s="45"/>
      <c r="L26" s="46"/>
      <c r="M26" s="45"/>
      <c r="N26" s="45"/>
      <c r="O26" s="45"/>
      <c r="P26" s="45"/>
      <c r="Q26" s="45"/>
      <c r="R26" s="36"/>
      <c r="S26" s="30"/>
    </row>
    <row r="27" spans="2:20" x14ac:dyDescent="0.2">
      <c r="B27" s="15" t="s">
        <v>15</v>
      </c>
      <c r="C27" s="14" t="s">
        <v>1</v>
      </c>
      <c r="D27" s="2"/>
      <c r="E27" s="64"/>
      <c r="F27" s="2"/>
      <c r="G27" s="2"/>
      <c r="H27" s="2"/>
      <c r="I27" s="2"/>
      <c r="J27" s="2"/>
      <c r="K27" s="2"/>
      <c r="L27" s="39"/>
      <c r="M27" s="2"/>
      <c r="N27" s="2"/>
      <c r="O27" s="2"/>
      <c r="P27" s="2"/>
      <c r="Q27" s="2"/>
      <c r="R27" s="33"/>
      <c r="S27" s="3"/>
    </row>
    <row r="28" spans="2:20" ht="15.75" x14ac:dyDescent="0.25">
      <c r="B28" s="15"/>
      <c r="C28" s="2" t="s">
        <v>2</v>
      </c>
      <c r="D28" s="4">
        <f>I6</f>
        <v>1349</v>
      </c>
      <c r="E28" s="65" t="s">
        <v>5</v>
      </c>
      <c r="F28" s="4">
        <f>I22</f>
        <v>1250</v>
      </c>
      <c r="G28" s="5" t="s">
        <v>6</v>
      </c>
      <c r="H28" s="2">
        <f t="shared" ref="H28:H35" si="0">D28-F28</f>
        <v>99</v>
      </c>
      <c r="I28" s="2" t="s">
        <v>7</v>
      </c>
      <c r="J28" s="2" t="s">
        <v>8</v>
      </c>
      <c r="K28" s="6" t="s">
        <v>9</v>
      </c>
      <c r="L28" s="39">
        <v>100</v>
      </c>
      <c r="M28" s="2" t="s">
        <v>8</v>
      </c>
      <c r="N28" s="1">
        <f>D6</f>
        <v>2</v>
      </c>
      <c r="O28" s="2" t="s">
        <v>10</v>
      </c>
      <c r="P28" s="5"/>
      <c r="Q28" s="6"/>
      <c r="R28" s="31" t="s">
        <v>9</v>
      </c>
      <c r="S28" s="56">
        <f t="shared" ref="S28:S35" si="1">H28*L28*N28</f>
        <v>19800</v>
      </c>
    </row>
    <row r="29" spans="2:20" ht="15.75" x14ac:dyDescent="0.25">
      <c r="B29" s="15"/>
      <c r="C29" s="2" t="s">
        <v>3</v>
      </c>
      <c r="D29" s="4">
        <f>I8</f>
        <v>1342</v>
      </c>
      <c r="E29" s="65" t="s">
        <v>5</v>
      </c>
      <c r="F29" s="4">
        <f>I22</f>
        <v>1250</v>
      </c>
      <c r="G29" s="5" t="s">
        <v>6</v>
      </c>
      <c r="H29" s="2">
        <f t="shared" si="0"/>
        <v>92</v>
      </c>
      <c r="I29" s="2" t="s">
        <v>7</v>
      </c>
      <c r="J29" s="2" t="s">
        <v>8</v>
      </c>
      <c r="K29" s="6" t="s">
        <v>9</v>
      </c>
      <c r="L29" s="39">
        <v>100</v>
      </c>
      <c r="M29" s="2" t="s">
        <v>8</v>
      </c>
      <c r="N29" s="1">
        <f>D8</f>
        <v>2</v>
      </c>
      <c r="O29" s="2" t="s">
        <v>10</v>
      </c>
      <c r="P29" s="5"/>
      <c r="Q29" s="6"/>
      <c r="R29" s="31" t="s">
        <v>9</v>
      </c>
      <c r="S29" s="56">
        <f t="shared" si="1"/>
        <v>18400</v>
      </c>
    </row>
    <row r="30" spans="2:20" ht="15.75" x14ac:dyDescent="0.25">
      <c r="B30" s="15"/>
      <c r="C30" s="2" t="s">
        <v>4</v>
      </c>
      <c r="D30" s="4">
        <f>I10</f>
        <v>1341</v>
      </c>
      <c r="E30" s="65" t="s">
        <v>5</v>
      </c>
      <c r="F30" s="4">
        <f>I22</f>
        <v>1250</v>
      </c>
      <c r="G30" s="5" t="s">
        <v>6</v>
      </c>
      <c r="H30" s="2">
        <f t="shared" si="0"/>
        <v>91</v>
      </c>
      <c r="I30" s="2" t="s">
        <v>7</v>
      </c>
      <c r="J30" s="2" t="s">
        <v>8</v>
      </c>
      <c r="K30" s="6" t="s">
        <v>9</v>
      </c>
      <c r="L30" s="39">
        <v>100</v>
      </c>
      <c r="M30" s="2" t="s">
        <v>8</v>
      </c>
      <c r="N30" s="1">
        <f>D10</f>
        <v>2</v>
      </c>
      <c r="O30" s="2" t="s">
        <v>10</v>
      </c>
      <c r="P30" s="5"/>
      <c r="Q30" s="6"/>
      <c r="R30" s="31" t="s">
        <v>9</v>
      </c>
      <c r="S30" s="56">
        <f t="shared" si="1"/>
        <v>18200</v>
      </c>
      <c r="T30" s="41"/>
    </row>
    <row r="31" spans="2:20" ht="15.75" x14ac:dyDescent="0.25">
      <c r="B31" s="15"/>
      <c r="C31" s="2" t="s">
        <v>26</v>
      </c>
      <c r="D31" s="4">
        <f>I12</f>
        <v>1320</v>
      </c>
      <c r="E31" s="65" t="s">
        <v>5</v>
      </c>
      <c r="F31" s="4">
        <f>I22</f>
        <v>1250</v>
      </c>
      <c r="G31" s="5" t="s">
        <v>6</v>
      </c>
      <c r="H31" s="2">
        <f t="shared" si="0"/>
        <v>70</v>
      </c>
      <c r="I31" s="2" t="s">
        <v>7</v>
      </c>
      <c r="J31" s="2" t="s">
        <v>8</v>
      </c>
      <c r="K31" s="6" t="s">
        <v>9</v>
      </c>
      <c r="L31" s="39">
        <v>100</v>
      </c>
      <c r="M31" s="2" t="s">
        <v>8</v>
      </c>
      <c r="N31" s="1">
        <f>D12</f>
        <v>5</v>
      </c>
      <c r="O31" s="2" t="s">
        <v>10</v>
      </c>
      <c r="P31" s="5"/>
      <c r="Q31" s="6"/>
      <c r="R31" s="31" t="s">
        <v>9</v>
      </c>
      <c r="S31" s="56">
        <f t="shared" si="1"/>
        <v>35000</v>
      </c>
      <c r="T31" s="41"/>
    </row>
    <row r="32" spans="2:20" ht="15.75" x14ac:dyDescent="0.25">
      <c r="B32" s="15"/>
      <c r="C32" s="2" t="s">
        <v>27</v>
      </c>
      <c r="D32" s="4">
        <f>I14</f>
        <v>1310</v>
      </c>
      <c r="E32" s="65" t="s">
        <v>5</v>
      </c>
      <c r="F32" s="4">
        <f>I22</f>
        <v>1250</v>
      </c>
      <c r="G32" s="5" t="s">
        <v>6</v>
      </c>
      <c r="H32" s="2">
        <f t="shared" si="0"/>
        <v>60</v>
      </c>
      <c r="I32" s="2" t="s">
        <v>7</v>
      </c>
      <c r="J32" s="2" t="s">
        <v>8</v>
      </c>
      <c r="K32" s="6" t="s">
        <v>9</v>
      </c>
      <c r="L32" s="39">
        <v>100</v>
      </c>
      <c r="M32" s="2" t="s">
        <v>8</v>
      </c>
      <c r="N32" s="1">
        <f>D14</f>
        <v>10</v>
      </c>
      <c r="O32" s="2" t="s">
        <v>10</v>
      </c>
      <c r="P32" s="5"/>
      <c r="Q32" s="6"/>
      <c r="R32" s="31" t="s">
        <v>9</v>
      </c>
      <c r="S32" s="56">
        <f t="shared" si="1"/>
        <v>60000</v>
      </c>
      <c r="T32" s="41"/>
    </row>
    <row r="33" spans="2:20" ht="15.75" x14ac:dyDescent="0.25">
      <c r="B33" s="15"/>
      <c r="C33" s="2" t="s">
        <v>34</v>
      </c>
      <c r="D33" s="4">
        <f>I16</f>
        <v>1300</v>
      </c>
      <c r="E33" s="65" t="s">
        <v>5</v>
      </c>
      <c r="F33" s="4">
        <f>I22</f>
        <v>1250</v>
      </c>
      <c r="G33" s="5" t="s">
        <v>6</v>
      </c>
      <c r="H33" s="2">
        <f t="shared" si="0"/>
        <v>50</v>
      </c>
      <c r="I33" s="2" t="s">
        <v>7</v>
      </c>
      <c r="J33" s="2" t="s">
        <v>8</v>
      </c>
      <c r="K33" s="6" t="s">
        <v>9</v>
      </c>
      <c r="L33" s="39">
        <v>100</v>
      </c>
      <c r="M33" s="2" t="s">
        <v>8</v>
      </c>
      <c r="N33" s="1">
        <f>D16</f>
        <v>15</v>
      </c>
      <c r="O33" s="2" t="s">
        <v>10</v>
      </c>
      <c r="P33" s="5"/>
      <c r="Q33" s="6"/>
      <c r="R33" s="31" t="s">
        <v>9</v>
      </c>
      <c r="S33" s="56">
        <f t="shared" si="1"/>
        <v>75000</v>
      </c>
      <c r="T33" s="41"/>
    </row>
    <row r="34" spans="2:20" ht="15.75" x14ac:dyDescent="0.25">
      <c r="B34" s="15"/>
      <c r="C34" s="2" t="s">
        <v>35</v>
      </c>
      <c r="D34" s="4">
        <f>I18</f>
        <v>1290</v>
      </c>
      <c r="E34" s="65" t="s">
        <v>5</v>
      </c>
      <c r="F34" s="4">
        <f>I22</f>
        <v>1250</v>
      </c>
      <c r="G34" s="5" t="s">
        <v>6</v>
      </c>
      <c r="H34" s="2">
        <f t="shared" si="0"/>
        <v>40</v>
      </c>
      <c r="I34" s="2" t="s">
        <v>7</v>
      </c>
      <c r="J34" s="2" t="s">
        <v>8</v>
      </c>
      <c r="K34" s="6" t="s">
        <v>9</v>
      </c>
      <c r="L34" s="39">
        <v>100</v>
      </c>
      <c r="M34" s="2" t="s">
        <v>8</v>
      </c>
      <c r="N34" s="1">
        <f>D18</f>
        <v>20</v>
      </c>
      <c r="O34" s="2" t="s">
        <v>10</v>
      </c>
      <c r="P34" s="5"/>
      <c r="Q34" s="6"/>
      <c r="R34" s="31" t="s">
        <v>9</v>
      </c>
      <c r="S34" s="56">
        <f t="shared" si="1"/>
        <v>80000</v>
      </c>
      <c r="T34" s="41"/>
    </row>
    <row r="35" spans="2:20" ht="16.5" thickBot="1" x14ac:dyDescent="0.3">
      <c r="B35" s="15"/>
      <c r="C35" s="2" t="s">
        <v>36</v>
      </c>
      <c r="D35" s="4">
        <f>I20</f>
        <v>1280</v>
      </c>
      <c r="E35" s="65" t="s">
        <v>5</v>
      </c>
      <c r="F35" s="4">
        <f>I22</f>
        <v>1250</v>
      </c>
      <c r="G35" s="5" t="s">
        <v>6</v>
      </c>
      <c r="H35" s="2">
        <f t="shared" si="0"/>
        <v>30</v>
      </c>
      <c r="I35" s="2" t="s">
        <v>7</v>
      </c>
      <c r="J35" s="2" t="s">
        <v>8</v>
      </c>
      <c r="K35" s="6" t="s">
        <v>9</v>
      </c>
      <c r="L35" s="39">
        <v>100</v>
      </c>
      <c r="M35" s="2" t="s">
        <v>8</v>
      </c>
      <c r="N35" s="1">
        <f>D20</f>
        <v>25</v>
      </c>
      <c r="O35" s="2" t="s">
        <v>10</v>
      </c>
      <c r="P35" s="5"/>
      <c r="Q35" s="6"/>
      <c r="R35" s="31" t="s">
        <v>9</v>
      </c>
      <c r="S35" s="56">
        <f t="shared" si="1"/>
        <v>75000</v>
      </c>
      <c r="T35" s="41"/>
    </row>
    <row r="36" spans="2:20" ht="16.5" thickBot="1" x14ac:dyDescent="0.3">
      <c r="B36" s="15"/>
      <c r="C36" s="14" t="s">
        <v>11</v>
      </c>
      <c r="D36" s="2"/>
      <c r="E36" s="64"/>
      <c r="F36" s="2"/>
      <c r="G36" s="2"/>
      <c r="H36" s="2"/>
      <c r="I36" s="2"/>
      <c r="J36" s="2"/>
      <c r="K36" s="2"/>
      <c r="L36" s="39"/>
      <c r="M36" s="2"/>
      <c r="N36" s="2"/>
      <c r="O36" s="2"/>
      <c r="P36" s="5"/>
      <c r="Q36" s="55"/>
      <c r="R36" s="54" t="s">
        <v>9</v>
      </c>
      <c r="S36" s="57">
        <f>S28+S29+S30+S31+S32</f>
        <v>151400</v>
      </c>
    </row>
    <row r="37" spans="2:20" ht="15" x14ac:dyDescent="0.2">
      <c r="B37" s="15"/>
      <c r="C37" s="2"/>
      <c r="D37" s="2"/>
      <c r="E37" s="64"/>
      <c r="F37" s="2"/>
      <c r="G37" s="2"/>
      <c r="H37" s="2"/>
      <c r="I37" s="2"/>
      <c r="J37" s="2"/>
      <c r="K37" s="2"/>
      <c r="L37" s="39"/>
      <c r="M37" s="2"/>
      <c r="N37" s="2"/>
      <c r="O37" s="2"/>
      <c r="P37" s="5"/>
      <c r="Q37" s="6"/>
      <c r="R37" s="33"/>
      <c r="S37" s="21"/>
    </row>
    <row r="38" spans="2:20" ht="15" x14ac:dyDescent="0.2">
      <c r="B38" s="15" t="s">
        <v>16</v>
      </c>
      <c r="C38" s="14" t="s">
        <v>14</v>
      </c>
      <c r="D38" s="2"/>
      <c r="E38" s="64"/>
      <c r="F38" s="2"/>
      <c r="G38" s="2"/>
      <c r="H38" s="2"/>
      <c r="I38" s="2"/>
      <c r="J38" s="2"/>
      <c r="K38" s="2"/>
      <c r="L38" s="39"/>
      <c r="M38" s="2"/>
      <c r="N38" s="2"/>
      <c r="O38" s="2"/>
      <c r="P38" s="5"/>
      <c r="Q38" s="6"/>
      <c r="R38" s="33"/>
      <c r="S38" s="21"/>
    </row>
    <row r="39" spans="2:20" ht="15.75" x14ac:dyDescent="0.25">
      <c r="B39" s="15"/>
      <c r="C39" s="2" t="s">
        <v>2</v>
      </c>
      <c r="D39" s="63">
        <f>I4</f>
        <v>1400</v>
      </c>
      <c r="E39" s="65" t="s">
        <v>5</v>
      </c>
      <c r="F39" s="29">
        <f>I6</f>
        <v>1349</v>
      </c>
      <c r="G39" s="5" t="s">
        <v>6</v>
      </c>
      <c r="H39" s="1">
        <f t="shared" ref="H39:H46" si="2">D39-F39</f>
        <v>51</v>
      </c>
      <c r="I39" s="1" t="s">
        <v>7</v>
      </c>
      <c r="J39" s="11" t="s">
        <v>8</v>
      </c>
      <c r="K39" s="27" t="s">
        <v>9</v>
      </c>
      <c r="L39" s="39">
        <v>100</v>
      </c>
      <c r="M39" s="11" t="s">
        <v>8</v>
      </c>
      <c r="N39" s="1">
        <f>D6</f>
        <v>2</v>
      </c>
      <c r="O39" s="11" t="s">
        <v>10</v>
      </c>
      <c r="P39" s="5"/>
      <c r="Q39" s="2"/>
      <c r="R39" s="31" t="s">
        <v>9</v>
      </c>
      <c r="S39" s="40">
        <f t="shared" ref="S39:S46" si="3">H39*L39*N39</f>
        <v>10200</v>
      </c>
    </row>
    <row r="40" spans="2:20" ht="15.75" x14ac:dyDescent="0.25">
      <c r="B40" s="15"/>
      <c r="C40" s="2" t="s">
        <v>3</v>
      </c>
      <c r="D40" s="63">
        <f>I4</f>
        <v>1400</v>
      </c>
      <c r="E40" s="65" t="s">
        <v>5</v>
      </c>
      <c r="F40" s="29">
        <f>I8</f>
        <v>1342</v>
      </c>
      <c r="G40" s="5" t="s">
        <v>6</v>
      </c>
      <c r="H40" s="1">
        <f t="shared" si="2"/>
        <v>58</v>
      </c>
      <c r="I40" s="1" t="s">
        <v>7</v>
      </c>
      <c r="J40" s="11" t="s">
        <v>8</v>
      </c>
      <c r="K40" s="27" t="s">
        <v>9</v>
      </c>
      <c r="L40" s="39">
        <v>100</v>
      </c>
      <c r="M40" s="11" t="s">
        <v>8</v>
      </c>
      <c r="N40" s="1">
        <f>D8</f>
        <v>2</v>
      </c>
      <c r="O40" s="11" t="s">
        <v>10</v>
      </c>
      <c r="P40" s="5"/>
      <c r="Q40" s="2"/>
      <c r="R40" s="31" t="s">
        <v>9</v>
      </c>
      <c r="S40" s="20">
        <f t="shared" si="3"/>
        <v>11600</v>
      </c>
    </row>
    <row r="41" spans="2:20" ht="15.75" x14ac:dyDescent="0.25">
      <c r="B41" s="15"/>
      <c r="C41" s="2" t="s">
        <v>4</v>
      </c>
      <c r="D41" s="63">
        <f>I4</f>
        <v>1400</v>
      </c>
      <c r="E41" s="65" t="s">
        <v>5</v>
      </c>
      <c r="F41" s="29">
        <f>I10</f>
        <v>1341</v>
      </c>
      <c r="G41" s="5" t="s">
        <v>6</v>
      </c>
      <c r="H41" s="1">
        <f t="shared" si="2"/>
        <v>59</v>
      </c>
      <c r="I41" s="1" t="s">
        <v>7</v>
      </c>
      <c r="J41" s="11" t="s">
        <v>8</v>
      </c>
      <c r="K41" s="27" t="s">
        <v>9</v>
      </c>
      <c r="L41" s="39">
        <v>100</v>
      </c>
      <c r="M41" s="11" t="s">
        <v>8</v>
      </c>
      <c r="N41" s="1">
        <f>D10</f>
        <v>2</v>
      </c>
      <c r="O41" s="11" t="s">
        <v>10</v>
      </c>
      <c r="P41" s="5"/>
      <c r="Q41" s="2"/>
      <c r="R41" s="31" t="s">
        <v>9</v>
      </c>
      <c r="S41" s="20">
        <f t="shared" si="3"/>
        <v>11800</v>
      </c>
    </row>
    <row r="42" spans="2:20" ht="15.75" x14ac:dyDescent="0.25">
      <c r="B42" s="15"/>
      <c r="C42" s="2" t="s">
        <v>26</v>
      </c>
      <c r="D42" s="63">
        <f>I4</f>
        <v>1400</v>
      </c>
      <c r="E42" s="66" t="s">
        <v>5</v>
      </c>
      <c r="F42" s="29">
        <f>I12</f>
        <v>1320</v>
      </c>
      <c r="G42" s="5" t="s">
        <v>6</v>
      </c>
      <c r="H42" s="1">
        <f t="shared" si="2"/>
        <v>80</v>
      </c>
      <c r="I42" s="1" t="s">
        <v>7</v>
      </c>
      <c r="J42" s="11" t="s">
        <v>8</v>
      </c>
      <c r="K42" s="27" t="s">
        <v>9</v>
      </c>
      <c r="L42" s="39">
        <v>100</v>
      </c>
      <c r="M42" s="11" t="s">
        <v>8</v>
      </c>
      <c r="N42" s="1">
        <f>D12</f>
        <v>5</v>
      </c>
      <c r="O42" s="11" t="s">
        <v>10</v>
      </c>
      <c r="P42" s="5"/>
      <c r="Q42" s="2"/>
      <c r="R42" s="31" t="s">
        <v>9</v>
      </c>
      <c r="S42" s="20">
        <f t="shared" si="3"/>
        <v>40000</v>
      </c>
    </row>
    <row r="43" spans="2:20" ht="15.75" x14ac:dyDescent="0.25">
      <c r="B43" s="15"/>
      <c r="C43" s="2" t="s">
        <v>27</v>
      </c>
      <c r="D43" s="63">
        <f>I4</f>
        <v>1400</v>
      </c>
      <c r="E43" s="66" t="s">
        <v>5</v>
      </c>
      <c r="F43" s="29">
        <f>I14</f>
        <v>1310</v>
      </c>
      <c r="G43" s="5" t="s">
        <v>6</v>
      </c>
      <c r="H43" s="1">
        <f t="shared" si="2"/>
        <v>90</v>
      </c>
      <c r="I43" s="1" t="s">
        <v>7</v>
      </c>
      <c r="J43" s="11" t="s">
        <v>8</v>
      </c>
      <c r="K43" s="27" t="s">
        <v>9</v>
      </c>
      <c r="L43" s="39">
        <v>100</v>
      </c>
      <c r="M43" s="11" t="s">
        <v>8</v>
      </c>
      <c r="N43" s="1">
        <f>D14</f>
        <v>10</v>
      </c>
      <c r="O43" s="11" t="s">
        <v>10</v>
      </c>
      <c r="P43" s="5"/>
      <c r="Q43" s="2"/>
      <c r="R43" s="31" t="s">
        <v>9</v>
      </c>
      <c r="S43" s="20">
        <f t="shared" si="3"/>
        <v>90000</v>
      </c>
    </row>
    <row r="44" spans="2:20" ht="15.75" x14ac:dyDescent="0.25">
      <c r="B44" s="15"/>
      <c r="C44" s="2" t="s">
        <v>34</v>
      </c>
      <c r="D44" s="63">
        <f>I4</f>
        <v>1400</v>
      </c>
      <c r="E44" s="66" t="s">
        <v>5</v>
      </c>
      <c r="F44" s="29">
        <f>I16</f>
        <v>1300</v>
      </c>
      <c r="G44" s="5" t="s">
        <v>6</v>
      </c>
      <c r="H44" s="1">
        <f t="shared" si="2"/>
        <v>100</v>
      </c>
      <c r="I44" s="1" t="s">
        <v>7</v>
      </c>
      <c r="J44" s="11" t="s">
        <v>8</v>
      </c>
      <c r="K44" s="27" t="s">
        <v>9</v>
      </c>
      <c r="L44" s="39">
        <v>100</v>
      </c>
      <c r="M44" s="11" t="s">
        <v>8</v>
      </c>
      <c r="N44" s="1">
        <f>D16</f>
        <v>15</v>
      </c>
      <c r="O44" s="11" t="s">
        <v>10</v>
      </c>
      <c r="P44" s="5"/>
      <c r="Q44" s="2"/>
      <c r="R44" s="31" t="s">
        <v>9</v>
      </c>
      <c r="S44" s="20">
        <f t="shared" si="3"/>
        <v>150000</v>
      </c>
    </row>
    <row r="45" spans="2:20" ht="15.75" x14ac:dyDescent="0.25">
      <c r="B45" s="15"/>
      <c r="C45" s="2" t="s">
        <v>35</v>
      </c>
      <c r="D45" s="63">
        <f>I4</f>
        <v>1400</v>
      </c>
      <c r="E45" s="66" t="s">
        <v>5</v>
      </c>
      <c r="F45" s="29">
        <f>I18</f>
        <v>1290</v>
      </c>
      <c r="G45" s="5" t="s">
        <v>6</v>
      </c>
      <c r="H45" s="1">
        <f t="shared" si="2"/>
        <v>110</v>
      </c>
      <c r="I45" s="1" t="s">
        <v>7</v>
      </c>
      <c r="J45" s="11" t="s">
        <v>8</v>
      </c>
      <c r="K45" s="27" t="s">
        <v>9</v>
      </c>
      <c r="L45" s="39">
        <v>100</v>
      </c>
      <c r="M45" s="11" t="s">
        <v>8</v>
      </c>
      <c r="N45" s="1">
        <f>D18</f>
        <v>20</v>
      </c>
      <c r="O45" s="11" t="s">
        <v>10</v>
      </c>
      <c r="P45" s="5"/>
      <c r="Q45" s="2"/>
      <c r="R45" s="31" t="s">
        <v>9</v>
      </c>
      <c r="S45" s="20">
        <f t="shared" si="3"/>
        <v>220000</v>
      </c>
    </row>
    <row r="46" spans="2:20" ht="16.5" thickBot="1" x14ac:dyDescent="0.3">
      <c r="B46" s="15"/>
      <c r="C46" s="2" t="s">
        <v>36</v>
      </c>
      <c r="D46" s="63">
        <f>I4</f>
        <v>1400</v>
      </c>
      <c r="E46" s="66" t="s">
        <v>5</v>
      </c>
      <c r="F46" s="29">
        <f>I20</f>
        <v>1280</v>
      </c>
      <c r="G46" s="5" t="s">
        <v>6</v>
      </c>
      <c r="H46" s="1">
        <f t="shared" si="2"/>
        <v>120</v>
      </c>
      <c r="I46" s="1" t="s">
        <v>7</v>
      </c>
      <c r="J46" s="11" t="s">
        <v>8</v>
      </c>
      <c r="K46" s="27" t="s">
        <v>9</v>
      </c>
      <c r="L46" s="39">
        <v>100</v>
      </c>
      <c r="M46" s="11" t="s">
        <v>8</v>
      </c>
      <c r="N46" s="1">
        <f>D20</f>
        <v>25</v>
      </c>
      <c r="O46" s="11" t="s">
        <v>10</v>
      </c>
      <c r="P46" s="5"/>
      <c r="Q46" s="2"/>
      <c r="R46" s="31" t="s">
        <v>9</v>
      </c>
      <c r="S46" s="20">
        <f t="shared" si="3"/>
        <v>300000</v>
      </c>
    </row>
    <row r="47" spans="2:20" ht="16.5" thickBot="1" x14ac:dyDescent="0.3">
      <c r="B47" s="15"/>
      <c r="C47" s="14" t="s">
        <v>12</v>
      </c>
      <c r="D47" s="1"/>
      <c r="E47" s="2"/>
      <c r="F47" s="1"/>
      <c r="G47" s="5"/>
      <c r="H47" s="1"/>
      <c r="I47" s="1"/>
      <c r="J47" s="11"/>
      <c r="K47" s="11"/>
      <c r="L47" s="2"/>
      <c r="M47" s="11"/>
      <c r="N47" s="2"/>
      <c r="O47" s="11"/>
      <c r="P47" s="5"/>
      <c r="Q47" s="2"/>
      <c r="R47" s="32" t="s">
        <v>9</v>
      </c>
      <c r="S47" s="19">
        <f>S39+S40+S41+S42+S43+S44+S45+S46</f>
        <v>833600</v>
      </c>
    </row>
    <row r="48" spans="2:20" ht="15.75" x14ac:dyDescent="0.25">
      <c r="B48" s="15"/>
      <c r="C48" s="2"/>
      <c r="D48" s="1"/>
      <c r="E48" s="2"/>
      <c r="F48" s="1"/>
      <c r="G48" s="5"/>
      <c r="H48" s="1"/>
      <c r="I48" s="1"/>
      <c r="J48" s="11"/>
      <c r="K48" s="11"/>
      <c r="L48" s="2"/>
      <c r="M48" s="11"/>
      <c r="N48" s="2"/>
      <c r="O48" s="11"/>
      <c r="P48" s="5"/>
      <c r="Q48" s="2"/>
      <c r="R48" s="31"/>
      <c r="S48" s="20"/>
    </row>
    <row r="49" spans="2:19" ht="15.75" x14ac:dyDescent="0.25">
      <c r="B49" s="15" t="s">
        <v>17</v>
      </c>
      <c r="C49" s="16" t="s">
        <v>18</v>
      </c>
      <c r="D49" s="1"/>
      <c r="E49" s="2"/>
      <c r="F49" s="1"/>
      <c r="G49" s="5"/>
      <c r="H49" s="1"/>
      <c r="I49" s="1"/>
      <c r="J49" s="11"/>
      <c r="K49" s="11"/>
      <c r="L49" s="2"/>
      <c r="M49" s="11"/>
      <c r="N49" s="2"/>
      <c r="O49" s="11"/>
      <c r="P49" s="5"/>
      <c r="Q49" s="2"/>
      <c r="R49" s="31"/>
      <c r="S49" s="20"/>
    </row>
    <row r="50" spans="2:19" ht="15.75" x14ac:dyDescent="0.25">
      <c r="B50" s="15"/>
      <c r="C50" s="2" t="s">
        <v>29</v>
      </c>
      <c r="D50" s="2"/>
      <c r="E50" s="2"/>
      <c r="F50" s="2"/>
      <c r="G50" s="175">
        <v>2000</v>
      </c>
      <c r="H50" s="175"/>
      <c r="I50" s="28"/>
      <c r="J50" s="2"/>
      <c r="K50" s="2"/>
      <c r="L50" s="2"/>
      <c r="M50" s="2"/>
      <c r="N50" s="2"/>
      <c r="O50" s="2"/>
      <c r="P50" s="2"/>
      <c r="Q50" s="2"/>
      <c r="R50" s="31"/>
      <c r="S50" s="22"/>
    </row>
    <row r="51" spans="2:19" ht="15.75" x14ac:dyDescent="0.25">
      <c r="B51" s="15"/>
      <c r="C51" s="2" t="str">
        <f>"Total Lot yang diperdagangkan  "&amp;D22&amp;"  Lot"</f>
        <v>Total Lot yang diperdagangkan  81  Lot</v>
      </c>
      <c r="D51" s="2"/>
      <c r="E51" s="2"/>
      <c r="F51" s="2"/>
      <c r="G51" s="2"/>
      <c r="H51" s="29"/>
      <c r="I51" s="8"/>
      <c r="J51" s="2"/>
      <c r="K51" s="2"/>
      <c r="L51" s="2"/>
      <c r="M51" s="2"/>
      <c r="N51" s="2"/>
      <c r="O51" s="2"/>
      <c r="P51" s="2"/>
      <c r="Q51" s="2"/>
      <c r="R51" s="31"/>
      <c r="S51" s="22"/>
    </row>
    <row r="52" spans="2:19" ht="15.75" x14ac:dyDescent="0.25">
      <c r="B52" s="15"/>
      <c r="C52" s="2" t="str">
        <f>"Maka jaminan yang dibutuhkan  :  $. 2.000 * " &amp;D22&amp;" Lot"</f>
        <v>Maka jaminan yang dibutuhkan  :  $. 2.000 * 81 Lot</v>
      </c>
      <c r="D52" s="2"/>
      <c r="E52" s="2"/>
      <c r="F52" s="2"/>
      <c r="G52" s="2"/>
      <c r="H52" s="2"/>
      <c r="I52" s="1"/>
      <c r="J52" s="2"/>
      <c r="K52" s="1"/>
      <c r="L52" s="1"/>
      <c r="M52" s="2"/>
      <c r="N52" s="2"/>
      <c r="O52" s="2"/>
      <c r="P52" s="5"/>
      <c r="Q52" s="5"/>
      <c r="R52" s="37" t="s">
        <v>9</v>
      </c>
      <c r="S52" s="20">
        <f>D22*G50</f>
        <v>162000</v>
      </c>
    </row>
    <row r="53" spans="2:19" ht="15.75" x14ac:dyDescent="0.25">
      <c r="B53" s="1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1"/>
      <c r="S53" s="22"/>
    </row>
    <row r="54" spans="2:19" ht="15.75" x14ac:dyDescent="0.25">
      <c r="B54" s="15"/>
      <c r="C54" s="16" t="s">
        <v>1</v>
      </c>
      <c r="D54" s="2"/>
      <c r="E54" s="2"/>
      <c r="F54" s="2"/>
      <c r="G54" s="2"/>
      <c r="H54" s="6"/>
      <c r="I54" s="2"/>
      <c r="J54" s="2"/>
      <c r="K54" s="9"/>
      <c r="L54" s="9"/>
      <c r="M54" s="2"/>
      <c r="N54" s="6"/>
      <c r="O54" s="7"/>
      <c r="P54" s="5"/>
      <c r="Q54" s="2"/>
      <c r="R54" s="31" t="s">
        <v>9</v>
      </c>
      <c r="S54" s="23">
        <f>S36</f>
        <v>151400</v>
      </c>
    </row>
    <row r="55" spans="2:19" ht="16.5" thickBot="1" x14ac:dyDescent="0.3">
      <c r="B55" s="47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9"/>
      <c r="O55" s="50"/>
      <c r="P55" s="51"/>
      <c r="Q55" s="51"/>
      <c r="R55" s="52"/>
      <c r="S55" s="53"/>
    </row>
    <row r="56" spans="2:19" ht="16.5" thickBot="1" x14ac:dyDescent="0.25">
      <c r="B56" s="10"/>
      <c r="C56" s="17" t="s">
        <v>13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38" t="s">
        <v>9</v>
      </c>
      <c r="S56" s="26">
        <f>S52+S54</f>
        <v>313400</v>
      </c>
    </row>
    <row r="57" spans="2:19" x14ac:dyDescent="0.2">
      <c r="B57" s="176">
        <f ca="1">TODAY()</f>
        <v>44518</v>
      </c>
      <c r="C57" s="176"/>
    </row>
  </sheetData>
  <mergeCells count="36">
    <mergeCell ref="B57:C57"/>
    <mergeCell ref="I14:K15"/>
    <mergeCell ref="I16:K17"/>
    <mergeCell ref="I18:K19"/>
    <mergeCell ref="B23:G23"/>
    <mergeCell ref="D14:E15"/>
    <mergeCell ref="D16:E17"/>
    <mergeCell ref="B25:Q25"/>
    <mergeCell ref="D18:E19"/>
    <mergeCell ref="D22:E22"/>
    <mergeCell ref="I22:K23"/>
    <mergeCell ref="N16:R17"/>
    <mergeCell ref="N18:R19"/>
    <mergeCell ref="G50:H50"/>
    <mergeCell ref="N22:R23"/>
    <mergeCell ref="R25:S25"/>
    <mergeCell ref="D12:E13"/>
    <mergeCell ref="I12:K13"/>
    <mergeCell ref="N12:R13"/>
    <mergeCell ref="D20:E21"/>
    <mergeCell ref="I20:K21"/>
    <mergeCell ref="N20:R21"/>
    <mergeCell ref="N14:R15"/>
    <mergeCell ref="D8:E9"/>
    <mergeCell ref="I8:K9"/>
    <mergeCell ref="N8:R9"/>
    <mergeCell ref="D10:E11"/>
    <mergeCell ref="I10:K11"/>
    <mergeCell ref="N10:R11"/>
    <mergeCell ref="B1:S1"/>
    <mergeCell ref="B3:G3"/>
    <mergeCell ref="K3:L3"/>
    <mergeCell ref="I4:K4"/>
    <mergeCell ref="D6:E7"/>
    <mergeCell ref="I6:K7"/>
    <mergeCell ref="N6:R7"/>
  </mergeCells>
  <pageMargins left="1.29" right="0.7" top="0.6" bottom="0.46" header="0.3" footer="0.3"/>
  <pageSetup paperSize="9"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5"/>
  <sheetViews>
    <sheetView showGridLines="0" view="pageLayout" topLeftCell="A4" workbookViewId="0">
      <selection activeCell="N10" sqref="N10:R11"/>
    </sheetView>
  </sheetViews>
  <sheetFormatPr defaultRowHeight="12.75" x14ac:dyDescent="0.2"/>
  <cols>
    <col min="1" max="1" width="7" customWidth="1"/>
    <col min="2" max="2" width="3" customWidth="1"/>
    <col min="3" max="3" width="7" customWidth="1"/>
    <col min="4" max="4" width="9" customWidth="1"/>
    <col min="5" max="5" width="3" customWidth="1"/>
    <col min="6" max="6" width="6.5703125" customWidth="1"/>
    <col min="7" max="7" width="2" customWidth="1"/>
    <col min="8" max="8" width="6.5703125" customWidth="1"/>
    <col min="9" max="9" width="4.140625" customWidth="1"/>
    <col min="10" max="10" width="1.7109375" customWidth="1"/>
    <col min="11" max="11" width="2.85546875" customWidth="1"/>
    <col min="12" max="12" width="5" bestFit="1" customWidth="1"/>
    <col min="13" max="13" width="1.5703125" customWidth="1"/>
    <col min="14" max="14" width="3" customWidth="1"/>
    <col min="15" max="15" width="3.42578125" customWidth="1"/>
    <col min="16" max="16" width="4" bestFit="1" customWidth="1"/>
    <col min="17" max="17" width="1.5703125" customWidth="1"/>
    <col min="18" max="18" width="3.42578125" style="34" customWidth="1"/>
    <col min="19" max="19" width="15.28515625" customWidth="1"/>
    <col min="20" max="20" width="10.28515625" bestFit="1" customWidth="1"/>
    <col min="21" max="22" width="0" hidden="1" customWidth="1"/>
  </cols>
  <sheetData>
    <row r="1" spans="1:20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6"/>
      <c r="S1" s="2"/>
    </row>
    <row r="2" spans="1:20" ht="21" thickBot="1" x14ac:dyDescent="0.35">
      <c r="B2" s="189" t="s">
        <v>40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</row>
    <row r="3" spans="1:20" ht="13.5" thickTop="1" x14ac:dyDescent="0.2"/>
    <row r="4" spans="1:20" x14ac:dyDescent="0.2">
      <c r="B4" s="190" t="s">
        <v>19</v>
      </c>
      <c r="C4" s="190"/>
      <c r="D4" s="190"/>
      <c r="E4" s="190"/>
      <c r="F4" s="190"/>
      <c r="G4" s="190"/>
      <c r="K4" s="190"/>
      <c r="L4" s="190"/>
    </row>
    <row r="5" spans="1:20" ht="21" customHeight="1" x14ac:dyDescent="0.2">
      <c r="D5" s="1"/>
      <c r="I5" s="204">
        <v>1245</v>
      </c>
      <c r="J5" s="204"/>
      <c r="K5" s="204"/>
      <c r="L5" s="24"/>
      <c r="M5" s="25"/>
      <c r="N5" s="196" t="s">
        <v>28</v>
      </c>
      <c r="O5" s="196"/>
      <c r="P5" s="196"/>
      <c r="Q5" s="196"/>
      <c r="R5" s="196"/>
    </row>
    <row r="6" spans="1:20" x14ac:dyDescent="0.2">
      <c r="D6" s="177">
        <v>3</v>
      </c>
      <c r="E6" s="177"/>
      <c r="I6" s="204">
        <v>1215</v>
      </c>
      <c r="J6" s="204"/>
      <c r="K6" s="204"/>
      <c r="L6" s="67"/>
      <c r="M6" s="61"/>
      <c r="N6" s="196" t="s">
        <v>66</v>
      </c>
      <c r="O6" s="196"/>
      <c r="P6" s="196"/>
      <c r="Q6" s="196"/>
      <c r="R6" s="196"/>
    </row>
    <row r="7" spans="1:20" x14ac:dyDescent="0.2">
      <c r="D7" s="177"/>
      <c r="E7" s="177"/>
      <c r="I7" s="204"/>
      <c r="J7" s="204"/>
      <c r="K7" s="204"/>
      <c r="L7" s="62"/>
      <c r="M7" s="61"/>
      <c r="N7" s="196"/>
      <c r="O7" s="196"/>
      <c r="P7" s="196"/>
      <c r="Q7" s="196"/>
      <c r="R7" s="196"/>
    </row>
    <row r="8" spans="1:20" x14ac:dyDescent="0.2">
      <c r="D8" s="233">
        <v>2</v>
      </c>
      <c r="E8" s="233"/>
      <c r="I8" s="204">
        <v>1210</v>
      </c>
      <c r="J8" s="204"/>
      <c r="K8" s="204"/>
      <c r="L8" s="67"/>
      <c r="M8" s="61"/>
      <c r="N8" s="196" t="s">
        <v>67</v>
      </c>
      <c r="O8" s="196"/>
      <c r="P8" s="196"/>
      <c r="Q8" s="196"/>
      <c r="R8" s="196"/>
      <c r="S8" t="s">
        <v>63</v>
      </c>
    </row>
    <row r="9" spans="1:20" x14ac:dyDescent="0.2">
      <c r="D9" s="233"/>
      <c r="E9" s="233"/>
      <c r="I9" s="204"/>
      <c r="J9" s="204"/>
      <c r="K9" s="204"/>
      <c r="L9" s="62"/>
      <c r="M9" s="61"/>
      <c r="N9" s="196"/>
      <c r="O9" s="196"/>
      <c r="P9" s="196"/>
      <c r="Q9" s="196"/>
      <c r="R9" s="196"/>
    </row>
    <row r="10" spans="1:20" x14ac:dyDescent="0.2">
      <c r="D10" s="204">
        <v>1</v>
      </c>
      <c r="E10" s="204"/>
      <c r="I10" s="204">
        <v>1205</v>
      </c>
      <c r="J10" s="204"/>
      <c r="K10" s="204"/>
      <c r="L10" s="67"/>
      <c r="M10" s="68"/>
      <c r="N10" s="196">
        <v>1</v>
      </c>
      <c r="O10" s="196"/>
      <c r="P10" s="196"/>
      <c r="Q10" s="196"/>
      <c r="R10" s="196"/>
    </row>
    <row r="11" spans="1:20" ht="19.5" customHeight="1" x14ac:dyDescent="0.2">
      <c r="D11" s="204"/>
      <c r="E11" s="204"/>
      <c r="I11" s="204"/>
      <c r="J11" s="204"/>
      <c r="K11" s="204"/>
      <c r="L11" s="68"/>
      <c r="M11" s="68"/>
      <c r="N11" s="196"/>
      <c r="O11" s="196"/>
      <c r="P11" s="196"/>
      <c r="Q11" s="196"/>
      <c r="R11" s="196"/>
    </row>
    <row r="12" spans="1:20" x14ac:dyDescent="0.2">
      <c r="D12" s="13"/>
      <c r="I12" s="231">
        <v>1170</v>
      </c>
      <c r="J12" s="231"/>
      <c r="K12" s="231"/>
      <c r="N12" s="232" t="s">
        <v>30</v>
      </c>
      <c r="O12" s="232"/>
      <c r="P12" s="232"/>
    </row>
    <row r="13" spans="1:20" x14ac:dyDescent="0.2">
      <c r="D13" s="179">
        <f>SUM(D6:D10)</f>
        <v>6</v>
      </c>
      <c r="E13" s="179"/>
    </row>
    <row r="14" spans="1:20" ht="15.75" x14ac:dyDescent="0.25">
      <c r="B14" s="186" t="s">
        <v>32</v>
      </c>
      <c r="C14" s="187"/>
      <c r="D14" s="187"/>
      <c r="E14" s="187"/>
      <c r="F14" s="187"/>
      <c r="G14" s="188"/>
    </row>
    <row r="15" spans="1:20" ht="13.5" thickBot="1" x14ac:dyDescent="0.25"/>
    <row r="16" spans="1:20" ht="18.75" thickBot="1" x14ac:dyDescent="0.3">
      <c r="B16" s="200" t="s">
        <v>20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183" t="s">
        <v>21</v>
      </c>
      <c r="S16" s="184"/>
      <c r="T16" s="70">
        <v>30</v>
      </c>
    </row>
    <row r="17" spans="2:20" x14ac:dyDescent="0.2">
      <c r="B17" s="44"/>
      <c r="C17" s="45"/>
      <c r="D17" s="45"/>
      <c r="E17" s="45"/>
      <c r="F17" s="45"/>
      <c r="G17" s="45"/>
      <c r="H17" s="45"/>
      <c r="I17" s="45"/>
      <c r="J17" s="45"/>
      <c r="K17" s="45"/>
      <c r="L17" s="46"/>
      <c r="M17" s="45"/>
      <c r="N17" s="45"/>
      <c r="O17" s="45"/>
      <c r="P17" s="45"/>
      <c r="Q17" s="45"/>
      <c r="R17" s="36"/>
      <c r="S17" s="30"/>
    </row>
    <row r="18" spans="2:20" x14ac:dyDescent="0.2">
      <c r="B18" s="15" t="s">
        <v>15</v>
      </c>
      <c r="C18" s="14" t="s">
        <v>1</v>
      </c>
      <c r="D18" s="2"/>
      <c r="E18" s="2"/>
      <c r="F18" s="2"/>
      <c r="G18" s="2"/>
      <c r="H18" s="2"/>
      <c r="I18" s="2"/>
      <c r="J18" s="2"/>
      <c r="K18" s="2"/>
      <c r="L18" s="39"/>
      <c r="M18" s="2"/>
      <c r="N18" s="2"/>
      <c r="O18" s="2"/>
      <c r="P18" s="2"/>
      <c r="Q18" s="2"/>
      <c r="R18" s="33"/>
      <c r="S18" s="3"/>
    </row>
    <row r="19" spans="2:20" ht="15.75" x14ac:dyDescent="0.25">
      <c r="B19" s="15"/>
      <c r="C19" s="2" t="s">
        <v>2</v>
      </c>
      <c r="D19" s="4">
        <f>I10</f>
        <v>1205</v>
      </c>
      <c r="E19" s="65" t="s">
        <v>5</v>
      </c>
      <c r="F19" s="4">
        <f>I5</f>
        <v>1245</v>
      </c>
      <c r="G19" s="5" t="s">
        <v>6</v>
      </c>
      <c r="H19" s="2">
        <f>IF(D10="",0,D19-F19)</f>
        <v>-40</v>
      </c>
      <c r="I19" s="2" t="s">
        <v>7</v>
      </c>
      <c r="J19" s="2" t="s">
        <v>8</v>
      </c>
      <c r="K19" s="6" t="s">
        <v>9</v>
      </c>
      <c r="L19" s="39">
        <v>100</v>
      </c>
      <c r="M19" s="2" t="s">
        <v>8</v>
      </c>
      <c r="N19" s="1">
        <f>D10</f>
        <v>1</v>
      </c>
      <c r="O19" s="2" t="s">
        <v>10</v>
      </c>
      <c r="P19" s="5"/>
      <c r="Q19" s="6"/>
      <c r="R19" s="31" t="s">
        <v>9</v>
      </c>
      <c r="S19" s="56">
        <f>H19*L19*N19*(-1)</f>
        <v>4000</v>
      </c>
    </row>
    <row r="20" spans="2:20" ht="15.75" x14ac:dyDescent="0.25">
      <c r="B20" s="15"/>
      <c r="C20" s="2" t="s">
        <v>3</v>
      </c>
      <c r="D20" s="4">
        <f>I8</f>
        <v>1210</v>
      </c>
      <c r="E20" s="65" t="s">
        <v>5</v>
      </c>
      <c r="F20" s="4">
        <f>I5</f>
        <v>1245</v>
      </c>
      <c r="G20" s="5" t="s">
        <v>6</v>
      </c>
      <c r="H20" s="2">
        <f>IF(D8="",0,D20-F20)</f>
        <v>-35</v>
      </c>
      <c r="I20" s="2" t="s">
        <v>7</v>
      </c>
      <c r="J20" s="2" t="s">
        <v>8</v>
      </c>
      <c r="K20" s="6" t="s">
        <v>9</v>
      </c>
      <c r="L20" s="39">
        <v>100</v>
      </c>
      <c r="M20" s="2" t="s">
        <v>8</v>
      </c>
      <c r="N20" s="1">
        <f>D8</f>
        <v>2</v>
      </c>
      <c r="O20" s="2" t="s">
        <v>10</v>
      </c>
      <c r="P20" s="5"/>
      <c r="Q20" s="6"/>
      <c r="R20" s="31" t="s">
        <v>9</v>
      </c>
      <c r="S20" s="56">
        <f>H20*L20*N20*(-1)</f>
        <v>7000</v>
      </c>
    </row>
    <row r="21" spans="2:20" ht="16.5" thickBot="1" x14ac:dyDescent="0.3">
      <c r="B21" s="15"/>
      <c r="C21" s="2" t="s">
        <v>4</v>
      </c>
      <c r="D21" s="4">
        <f>I6</f>
        <v>1215</v>
      </c>
      <c r="E21" s="65" t="s">
        <v>5</v>
      </c>
      <c r="F21" s="4">
        <f>I5</f>
        <v>1245</v>
      </c>
      <c r="G21" s="5" t="s">
        <v>6</v>
      </c>
      <c r="H21" s="2">
        <f>IF(D6="",0,D21-F21)</f>
        <v>-30</v>
      </c>
      <c r="I21" s="2" t="s">
        <v>7</v>
      </c>
      <c r="J21" s="2" t="s">
        <v>8</v>
      </c>
      <c r="K21" s="6" t="s">
        <v>9</v>
      </c>
      <c r="L21" s="39">
        <v>100</v>
      </c>
      <c r="M21" s="2" t="s">
        <v>8</v>
      </c>
      <c r="N21" s="1">
        <f>D6</f>
        <v>3</v>
      </c>
      <c r="O21" s="2" t="s">
        <v>10</v>
      </c>
      <c r="P21" s="5"/>
      <c r="Q21" s="6"/>
      <c r="R21" s="31" t="s">
        <v>9</v>
      </c>
      <c r="S21" s="56">
        <f>H21*L21*N21*(-1)</f>
        <v>9000</v>
      </c>
      <c r="T21" s="41"/>
    </row>
    <row r="22" spans="2:20" ht="16.5" thickBot="1" x14ac:dyDescent="0.3">
      <c r="B22" s="15"/>
      <c r="C22" s="14" t="s">
        <v>11</v>
      </c>
      <c r="D22" s="2"/>
      <c r="E22" s="2"/>
      <c r="F22" s="2"/>
      <c r="G22" s="2"/>
      <c r="H22" s="2"/>
      <c r="I22" s="2"/>
      <c r="J22" s="2"/>
      <c r="K22" s="2"/>
      <c r="L22" s="39"/>
      <c r="M22" s="2"/>
      <c r="N22" s="2"/>
      <c r="O22" s="2"/>
      <c r="P22" s="5"/>
      <c r="Q22" s="55"/>
      <c r="R22" s="54" t="s">
        <v>9</v>
      </c>
      <c r="S22" s="57">
        <f>SUM(S19:S21)</f>
        <v>20000</v>
      </c>
    </row>
    <row r="23" spans="2:20" ht="15" x14ac:dyDescent="0.2">
      <c r="B23" s="15"/>
      <c r="C23" s="2"/>
      <c r="D23" s="2"/>
      <c r="E23" s="2"/>
      <c r="F23" s="2"/>
      <c r="G23" s="2"/>
      <c r="H23" s="2"/>
      <c r="I23" s="2"/>
      <c r="J23" s="2"/>
      <c r="K23" s="2"/>
      <c r="L23" s="39"/>
      <c r="M23" s="2"/>
      <c r="N23" s="2"/>
      <c r="O23" s="2"/>
      <c r="P23" s="5"/>
      <c r="Q23" s="6"/>
      <c r="R23" s="33"/>
      <c r="S23" s="21"/>
    </row>
    <row r="24" spans="2:20" ht="15" x14ac:dyDescent="0.2">
      <c r="B24" s="15" t="s">
        <v>16</v>
      </c>
      <c r="C24" s="14" t="s">
        <v>14</v>
      </c>
      <c r="D24" s="2"/>
      <c r="E24" s="2"/>
      <c r="F24" s="2"/>
      <c r="G24" s="2"/>
      <c r="H24" s="2"/>
      <c r="I24" s="2"/>
      <c r="J24" s="2"/>
      <c r="K24" s="2"/>
      <c r="L24" s="39"/>
      <c r="M24" s="2"/>
      <c r="N24" s="2"/>
      <c r="O24" s="2"/>
      <c r="P24" s="5"/>
      <c r="Q24" s="6"/>
      <c r="R24" s="33"/>
      <c r="S24" s="21"/>
    </row>
    <row r="25" spans="2:20" ht="15.75" x14ac:dyDescent="0.25">
      <c r="B25" s="15"/>
      <c r="C25" s="2" t="s">
        <v>2</v>
      </c>
      <c r="D25" s="1">
        <f>I10</f>
        <v>1205</v>
      </c>
      <c r="E25" s="65" t="s">
        <v>5</v>
      </c>
      <c r="F25" s="1">
        <f>I12</f>
        <v>1170</v>
      </c>
      <c r="G25" s="5" t="s">
        <v>6</v>
      </c>
      <c r="H25" s="1">
        <f>IF(D10="",0,D25-F25)</f>
        <v>35</v>
      </c>
      <c r="I25" s="1" t="s">
        <v>7</v>
      </c>
      <c r="J25" s="11" t="s">
        <v>8</v>
      </c>
      <c r="K25" s="27" t="s">
        <v>9</v>
      </c>
      <c r="L25" s="39">
        <v>100</v>
      </c>
      <c r="M25" s="11" t="s">
        <v>8</v>
      </c>
      <c r="N25" s="1">
        <f>D10</f>
        <v>1</v>
      </c>
      <c r="O25" s="11" t="s">
        <v>10</v>
      </c>
      <c r="P25" s="5"/>
      <c r="Q25" s="2"/>
      <c r="R25" s="31" t="s">
        <v>9</v>
      </c>
      <c r="S25" s="40">
        <f>H25*L25*N25</f>
        <v>3500</v>
      </c>
    </row>
    <row r="26" spans="2:20" ht="15.75" x14ac:dyDescent="0.25">
      <c r="B26" s="15"/>
      <c r="C26" s="2" t="s">
        <v>3</v>
      </c>
      <c r="D26" s="1">
        <f>I8</f>
        <v>1210</v>
      </c>
      <c r="E26" s="65" t="s">
        <v>5</v>
      </c>
      <c r="F26" s="1">
        <f>I12</f>
        <v>1170</v>
      </c>
      <c r="G26" s="5" t="s">
        <v>6</v>
      </c>
      <c r="H26" s="1">
        <f>IF(D8="",0,D26-F26)</f>
        <v>40</v>
      </c>
      <c r="I26" s="1" t="s">
        <v>7</v>
      </c>
      <c r="J26" s="11" t="s">
        <v>8</v>
      </c>
      <c r="K26" s="27" t="s">
        <v>9</v>
      </c>
      <c r="L26" s="39">
        <v>100</v>
      </c>
      <c r="M26" s="11" t="s">
        <v>8</v>
      </c>
      <c r="N26" s="1">
        <f>D8</f>
        <v>2</v>
      </c>
      <c r="O26" s="11" t="s">
        <v>10</v>
      </c>
      <c r="P26" s="5"/>
      <c r="Q26" s="2"/>
      <c r="R26" s="31" t="s">
        <v>9</v>
      </c>
      <c r="S26" s="20">
        <f>H26*L26*N26</f>
        <v>8000</v>
      </c>
    </row>
    <row r="27" spans="2:20" ht="16.5" thickBot="1" x14ac:dyDescent="0.3">
      <c r="B27" s="15"/>
      <c r="C27" s="2" t="s">
        <v>4</v>
      </c>
      <c r="D27" s="1">
        <f>I6</f>
        <v>1215</v>
      </c>
      <c r="E27" s="65" t="s">
        <v>5</v>
      </c>
      <c r="F27" s="1">
        <f>I12</f>
        <v>1170</v>
      </c>
      <c r="G27" s="5" t="s">
        <v>6</v>
      </c>
      <c r="H27" s="1">
        <f>IF(D6="",0,D27-F27)</f>
        <v>45</v>
      </c>
      <c r="I27" s="1" t="s">
        <v>7</v>
      </c>
      <c r="J27" s="11" t="s">
        <v>8</v>
      </c>
      <c r="K27" s="27" t="s">
        <v>9</v>
      </c>
      <c r="L27" s="39">
        <v>100</v>
      </c>
      <c r="M27" s="11" t="s">
        <v>8</v>
      </c>
      <c r="N27" s="1">
        <f>D6</f>
        <v>3</v>
      </c>
      <c r="O27" s="11" t="s">
        <v>10</v>
      </c>
      <c r="P27" s="5"/>
      <c r="Q27" s="2"/>
      <c r="R27" s="31" t="s">
        <v>9</v>
      </c>
      <c r="S27" s="20">
        <f>H27*L27*N27</f>
        <v>13500</v>
      </c>
    </row>
    <row r="28" spans="2:20" ht="16.5" thickBot="1" x14ac:dyDescent="0.3">
      <c r="B28" s="15"/>
      <c r="C28" s="14" t="s">
        <v>12</v>
      </c>
      <c r="D28" s="1"/>
      <c r="E28" s="2"/>
      <c r="F28" s="1"/>
      <c r="G28" s="5"/>
      <c r="H28" s="1"/>
      <c r="I28" s="1"/>
      <c r="J28" s="11"/>
      <c r="K28" s="11"/>
      <c r="L28" s="2"/>
      <c r="M28" s="11"/>
      <c r="N28" s="2"/>
      <c r="O28" s="11"/>
      <c r="P28" s="5"/>
      <c r="Q28" s="2"/>
      <c r="R28" s="32" t="s">
        <v>9</v>
      </c>
      <c r="S28" s="19">
        <f>SUM(S25:S27)</f>
        <v>25000</v>
      </c>
    </row>
    <row r="29" spans="2:20" ht="15.75" x14ac:dyDescent="0.25">
      <c r="B29" s="15"/>
      <c r="C29" s="2"/>
      <c r="D29" s="1"/>
      <c r="E29" s="2"/>
      <c r="F29" s="1"/>
      <c r="G29" s="5"/>
      <c r="H29" s="1"/>
      <c r="I29" s="1"/>
      <c r="J29" s="11"/>
      <c r="K29" s="11"/>
      <c r="L29" s="2"/>
      <c r="M29" s="11"/>
      <c r="N29" s="2"/>
      <c r="O29" s="11"/>
      <c r="P29" s="5"/>
      <c r="Q29" s="2"/>
      <c r="R29" s="31"/>
      <c r="S29" s="20"/>
    </row>
    <row r="30" spans="2:20" ht="15.75" x14ac:dyDescent="0.25">
      <c r="B30" s="15" t="s">
        <v>17</v>
      </c>
      <c r="C30" s="16" t="s">
        <v>18</v>
      </c>
      <c r="D30" s="1"/>
      <c r="E30" s="2"/>
      <c r="F30" s="1"/>
      <c r="G30" s="5"/>
      <c r="H30" s="1"/>
      <c r="I30" s="1"/>
      <c r="J30" s="11"/>
      <c r="K30" s="11"/>
      <c r="L30" s="2"/>
      <c r="M30" s="11"/>
      <c r="N30" s="2"/>
      <c r="O30" s="11"/>
      <c r="P30" s="5"/>
      <c r="Q30" s="2"/>
      <c r="R30" s="31"/>
      <c r="S30" s="20"/>
    </row>
    <row r="31" spans="2:20" ht="15.75" x14ac:dyDescent="0.25">
      <c r="B31" s="15"/>
      <c r="C31" s="230" t="s">
        <v>31</v>
      </c>
      <c r="D31" s="230"/>
      <c r="E31" s="230"/>
      <c r="F31" s="230"/>
      <c r="G31" s="230"/>
      <c r="H31" s="230"/>
      <c r="I31" s="76">
        <v>2000</v>
      </c>
      <c r="J31" s="2"/>
      <c r="K31" s="2"/>
      <c r="L31" s="2"/>
      <c r="M31" s="2"/>
      <c r="N31" s="2"/>
      <c r="O31" s="2"/>
      <c r="P31" s="2"/>
      <c r="Q31" s="2"/>
      <c r="R31" s="31"/>
      <c r="S31" s="22"/>
    </row>
    <row r="32" spans="2:20" ht="15.75" x14ac:dyDescent="0.25">
      <c r="B32" s="15"/>
      <c r="C32" s="2" t="str">
        <f>"Total Lot yang diperdagangkan  :  "&amp;D13&amp;" Lot"</f>
        <v>Total Lot yang diperdagangkan  :  6 Lot</v>
      </c>
      <c r="D32" s="2"/>
      <c r="E32" s="2"/>
      <c r="F32" s="2"/>
      <c r="G32" s="2"/>
      <c r="H32" s="29"/>
      <c r="I32" s="8"/>
      <c r="J32" s="2"/>
      <c r="K32" s="2"/>
      <c r="L32" s="2"/>
      <c r="M32" s="2"/>
      <c r="N32" s="2"/>
      <c r="O32" s="2"/>
      <c r="P32" s="2"/>
      <c r="Q32" s="2"/>
      <c r="R32" s="31"/>
      <c r="S32" s="22"/>
    </row>
    <row r="33" spans="2:19" ht="15.75" x14ac:dyDescent="0.25">
      <c r="B33" s="15"/>
      <c r="C33" s="2" t="str">
        <f>"Maka jaminan yang dibutuhkan  :  $. 2.000 * "&amp;D13&amp;" Lot"</f>
        <v>Maka jaminan yang dibutuhkan  :  $. 2.000 * 6 Lot</v>
      </c>
      <c r="D33" s="2"/>
      <c r="E33" s="2"/>
      <c r="F33" s="2"/>
      <c r="G33" s="2"/>
      <c r="H33" s="2"/>
      <c r="I33" s="1"/>
      <c r="J33" s="2"/>
      <c r="K33" s="1"/>
      <c r="L33" s="1"/>
      <c r="M33" s="2"/>
      <c r="N33" s="2"/>
      <c r="O33" s="2"/>
      <c r="P33" s="5"/>
      <c r="Q33" s="5"/>
      <c r="R33" s="37" t="s">
        <v>9</v>
      </c>
      <c r="S33" s="20">
        <f>D13*I31</f>
        <v>12000</v>
      </c>
    </row>
    <row r="34" spans="2:19" ht="15.75" x14ac:dyDescent="0.25">
      <c r="B34" s="1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1"/>
      <c r="S34" s="22"/>
    </row>
    <row r="35" spans="2:19" ht="15.75" x14ac:dyDescent="0.25">
      <c r="B35" s="15"/>
      <c r="C35" s="16" t="s">
        <v>1</v>
      </c>
      <c r="D35" s="2"/>
      <c r="E35" s="2"/>
      <c r="F35" s="2"/>
      <c r="G35" s="2"/>
      <c r="H35" s="6"/>
      <c r="I35" s="2"/>
      <c r="J35" s="2"/>
      <c r="K35" s="9"/>
      <c r="L35" s="9"/>
      <c r="M35" s="2"/>
      <c r="N35" s="6"/>
      <c r="O35" s="7"/>
      <c r="P35" s="5"/>
      <c r="Q35" s="2"/>
      <c r="R35" s="31" t="s">
        <v>9</v>
      </c>
      <c r="S35" s="23">
        <f>S22</f>
        <v>20000</v>
      </c>
    </row>
    <row r="36" spans="2:19" ht="16.5" thickBot="1" x14ac:dyDescent="0.3">
      <c r="B36" s="47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9"/>
      <c r="O36" s="50"/>
      <c r="P36" s="51"/>
      <c r="Q36" s="51"/>
      <c r="R36" s="52"/>
      <c r="S36" s="53"/>
    </row>
    <row r="37" spans="2:19" ht="16.5" thickBot="1" x14ac:dyDescent="0.25">
      <c r="B37" s="10"/>
      <c r="C37" s="17" t="s">
        <v>13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38" t="s">
        <v>9</v>
      </c>
      <c r="S37" s="26">
        <f>S33+S35</f>
        <v>32000</v>
      </c>
    </row>
    <row r="38" spans="2:19" x14ac:dyDescent="0.2">
      <c r="B38" s="176"/>
      <c r="C38" s="176"/>
    </row>
    <row r="39" spans="2:19" x14ac:dyDescent="0.2">
      <c r="B39" s="163"/>
      <c r="C39" s="163"/>
    </row>
    <row r="40" spans="2:19" ht="15" x14ac:dyDescent="0.2">
      <c r="B40" s="162"/>
      <c r="C40" s="162"/>
      <c r="D40" s="162"/>
      <c r="E40" s="162"/>
      <c r="F40" s="162"/>
      <c r="G40" s="162"/>
      <c r="H40" s="162"/>
      <c r="I40" s="162"/>
    </row>
    <row r="41" spans="2:19" ht="15" x14ac:dyDescent="0.2">
      <c r="B41" s="162"/>
      <c r="C41" s="162"/>
      <c r="D41" s="162"/>
      <c r="E41" s="162"/>
      <c r="F41" s="162"/>
      <c r="G41" s="162"/>
      <c r="H41" s="162"/>
      <c r="I41" s="162"/>
    </row>
    <row r="42" spans="2:19" ht="15" x14ac:dyDescent="0.2">
      <c r="B42" s="162"/>
      <c r="C42" s="162"/>
      <c r="D42" s="162"/>
      <c r="E42" s="162"/>
      <c r="F42" s="162"/>
      <c r="G42" s="162"/>
      <c r="H42" s="162"/>
      <c r="I42" s="162"/>
    </row>
    <row r="43" spans="2:19" ht="15" x14ac:dyDescent="0.2">
      <c r="B43" s="162"/>
      <c r="C43" s="162"/>
      <c r="D43" s="162"/>
      <c r="E43" s="162"/>
      <c r="F43" s="162"/>
      <c r="G43" s="162"/>
      <c r="H43" s="162"/>
      <c r="I43" s="162"/>
    </row>
    <row r="45" spans="2:19" ht="15" x14ac:dyDescent="0.2">
      <c r="B45" s="164"/>
    </row>
  </sheetData>
  <mergeCells count="22">
    <mergeCell ref="K4:L4"/>
    <mergeCell ref="I5:K5"/>
    <mergeCell ref="N5:R5"/>
    <mergeCell ref="D6:E7"/>
    <mergeCell ref="I6:K7"/>
    <mergeCell ref="N6:R7"/>
    <mergeCell ref="B2:S2"/>
    <mergeCell ref="B38:C38"/>
    <mergeCell ref="D13:E13"/>
    <mergeCell ref="B14:G14"/>
    <mergeCell ref="B16:Q16"/>
    <mergeCell ref="R16:S16"/>
    <mergeCell ref="C31:H31"/>
    <mergeCell ref="D10:E11"/>
    <mergeCell ref="I10:K11"/>
    <mergeCell ref="N10:R11"/>
    <mergeCell ref="I12:K12"/>
    <mergeCell ref="N12:P12"/>
    <mergeCell ref="N8:R9"/>
    <mergeCell ref="D8:E9"/>
    <mergeCell ref="I8:K9"/>
    <mergeCell ref="B4:G4"/>
  </mergeCells>
  <phoneticPr fontId="2" type="noConversion"/>
  <pageMargins left="0.75" right="0.75" top="1" bottom="1" header="0.5" footer="0.5"/>
  <pageSetup paperSize="9" scale="90" orientation="portrait" horizontalDpi="4294967294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Z42"/>
  <sheetViews>
    <sheetView zoomScale="70" zoomScaleNormal="70" workbookViewId="0">
      <selection activeCell="D11" sqref="D11:E12"/>
    </sheetView>
  </sheetViews>
  <sheetFormatPr defaultRowHeight="12.75" x14ac:dyDescent="0.2"/>
  <cols>
    <col min="1" max="1" width="6.28515625" customWidth="1"/>
    <col min="2" max="2" width="3" customWidth="1"/>
    <col min="3" max="3" width="7" customWidth="1"/>
    <col min="4" max="4" width="9" customWidth="1"/>
    <col min="5" max="5" width="3" customWidth="1"/>
    <col min="6" max="6" width="7.7109375" customWidth="1"/>
    <col min="7" max="7" width="2" customWidth="1"/>
    <col min="8" max="8" width="6.5703125" customWidth="1"/>
    <col min="9" max="9" width="4.140625" customWidth="1"/>
    <col min="10" max="10" width="1.7109375" customWidth="1"/>
    <col min="11" max="11" width="4.85546875" customWidth="1"/>
    <col min="12" max="12" width="5.42578125" bestFit="1" customWidth="1"/>
    <col min="13" max="13" width="1.5703125" customWidth="1"/>
    <col min="14" max="14" width="3" customWidth="1"/>
    <col min="15" max="15" width="4.5703125" customWidth="1"/>
    <col min="16" max="16" width="4" bestFit="1" customWidth="1"/>
    <col min="17" max="17" width="1.5703125" customWidth="1"/>
    <col min="18" max="18" width="3.42578125" style="34" customWidth="1"/>
    <col min="19" max="19" width="15.140625" customWidth="1"/>
    <col min="20" max="20" width="10.28515625" bestFit="1" customWidth="1"/>
    <col min="21" max="22" width="0" hidden="1" customWidth="1"/>
  </cols>
  <sheetData>
    <row r="1" spans="2:26" ht="21" thickBot="1" x14ac:dyDescent="0.35">
      <c r="B1" s="189" t="s">
        <v>62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</row>
    <row r="2" spans="2:26" ht="13.5" thickTop="1" x14ac:dyDescent="0.2"/>
    <row r="3" spans="2:26" x14ac:dyDescent="0.2">
      <c r="B3" s="190" t="s">
        <v>19</v>
      </c>
      <c r="C3" s="190"/>
      <c r="D3" s="190"/>
      <c r="E3" s="190"/>
      <c r="F3" s="190"/>
      <c r="G3" s="190"/>
      <c r="K3" s="190"/>
      <c r="L3" s="190"/>
    </row>
    <row r="4" spans="2:26" ht="18" customHeight="1" x14ac:dyDescent="0.2">
      <c r="D4" s="77"/>
      <c r="E4" s="78"/>
      <c r="F4" s="78"/>
      <c r="G4" s="78"/>
      <c r="H4" s="78"/>
      <c r="I4" s="235">
        <v>1450</v>
      </c>
      <c r="J4" s="235"/>
      <c r="K4" s="235"/>
      <c r="L4" s="62"/>
      <c r="M4" s="61"/>
      <c r="N4" s="72" t="s">
        <v>28</v>
      </c>
      <c r="O4" s="72"/>
      <c r="P4" s="72"/>
      <c r="Q4" s="72"/>
      <c r="R4" s="72"/>
    </row>
    <row r="5" spans="2:26" x14ac:dyDescent="0.2">
      <c r="D5" s="238">
        <v>1</v>
      </c>
      <c r="E5" s="238"/>
      <c r="F5" s="78"/>
      <c r="G5" s="78"/>
      <c r="H5" s="78"/>
      <c r="I5" s="239">
        <v>1439</v>
      </c>
      <c r="J5" s="239"/>
      <c r="K5" s="239"/>
      <c r="L5" s="67"/>
      <c r="M5" s="61"/>
      <c r="N5" s="196" t="str">
        <f>"  Sell "&amp;D5&amp;" Lot"</f>
        <v xml:space="preserve">  Sell 1 Lot</v>
      </c>
      <c r="O5" s="196"/>
      <c r="P5" s="196"/>
      <c r="Q5" s="196"/>
      <c r="R5" s="196"/>
      <c r="T5" s="42"/>
      <c r="U5" t="s">
        <v>24</v>
      </c>
      <c r="V5">
        <f>D11*1000</f>
        <v>1000</v>
      </c>
    </row>
    <row r="6" spans="2:26" x14ac:dyDescent="0.2">
      <c r="D6" s="238"/>
      <c r="E6" s="238"/>
      <c r="F6" s="78"/>
      <c r="G6" s="78"/>
      <c r="H6" s="78"/>
      <c r="I6" s="239"/>
      <c r="J6" s="239"/>
      <c r="K6" s="239"/>
      <c r="L6" s="62"/>
      <c r="M6" s="61"/>
      <c r="N6" s="196"/>
      <c r="O6" s="196"/>
      <c r="P6" s="196"/>
      <c r="Q6" s="196"/>
      <c r="R6" s="196"/>
      <c r="U6" t="s">
        <v>25</v>
      </c>
      <c r="V6" s="43" t="e">
        <f>#REF!-V5</f>
        <v>#REF!</v>
      </c>
    </row>
    <row r="7" spans="2:26" x14ac:dyDescent="0.2">
      <c r="D7" s="237">
        <v>1</v>
      </c>
      <c r="E7" s="237"/>
      <c r="F7" s="78"/>
      <c r="G7" s="78"/>
      <c r="H7" s="78"/>
      <c r="I7" s="235">
        <v>1431</v>
      </c>
      <c r="J7" s="235"/>
      <c r="K7" s="235"/>
      <c r="L7" s="67"/>
      <c r="M7" s="61"/>
      <c r="N7" s="196" t="str">
        <f>"  Sell "&amp;D7&amp;" Lot"</f>
        <v xml:space="preserve">  Sell 1 Lot</v>
      </c>
      <c r="O7" s="196"/>
      <c r="P7" s="196"/>
      <c r="Q7" s="196"/>
      <c r="R7" s="196"/>
    </row>
    <row r="8" spans="2:26" x14ac:dyDescent="0.2">
      <c r="D8" s="237"/>
      <c r="E8" s="237"/>
      <c r="F8" s="78"/>
      <c r="G8" s="78"/>
      <c r="H8" s="78"/>
      <c r="I8" s="235"/>
      <c r="J8" s="235"/>
      <c r="K8" s="235"/>
      <c r="L8" s="62"/>
      <c r="M8" s="61"/>
      <c r="N8" s="196"/>
      <c r="O8" s="196"/>
      <c r="P8" s="196"/>
      <c r="Q8" s="196"/>
      <c r="R8" s="196"/>
    </row>
    <row r="9" spans="2:26" x14ac:dyDescent="0.2">
      <c r="D9" s="237">
        <v>1</v>
      </c>
      <c r="E9" s="237"/>
      <c r="F9" s="78"/>
      <c r="G9" s="78"/>
      <c r="H9" s="78"/>
      <c r="I9" s="235">
        <v>1428</v>
      </c>
      <c r="J9" s="235"/>
      <c r="K9" s="235"/>
      <c r="L9" s="67"/>
      <c r="M9" s="61"/>
      <c r="N9" s="196" t="str">
        <f>"  Sell "&amp;D9&amp;" Lot"</f>
        <v xml:space="preserve">  Sell 1 Lot</v>
      </c>
      <c r="O9" s="196"/>
      <c r="P9" s="196"/>
      <c r="Q9" s="196"/>
      <c r="R9" s="196"/>
    </row>
    <row r="10" spans="2:26" x14ac:dyDescent="0.2">
      <c r="D10" s="237"/>
      <c r="E10" s="237"/>
      <c r="F10" s="78"/>
      <c r="G10" s="78"/>
      <c r="H10" s="78"/>
      <c r="I10" s="235"/>
      <c r="J10" s="235"/>
      <c r="K10" s="235"/>
      <c r="L10" s="62"/>
      <c r="M10" s="61"/>
      <c r="N10" s="196"/>
      <c r="O10" s="196"/>
      <c r="P10" s="196"/>
      <c r="Q10" s="196"/>
      <c r="R10" s="196"/>
    </row>
    <row r="11" spans="2:26" x14ac:dyDescent="0.2">
      <c r="D11" s="236">
        <v>1</v>
      </c>
      <c r="E11" s="236"/>
      <c r="F11" s="78"/>
      <c r="G11" s="78"/>
      <c r="H11" s="78"/>
      <c r="I11" s="235">
        <v>1423</v>
      </c>
      <c r="J11" s="235"/>
      <c r="K11" s="235"/>
      <c r="L11" s="67"/>
      <c r="M11" s="68"/>
      <c r="N11" s="196" t="str">
        <f>"  Sell "&amp;D11&amp;" Lot"</f>
        <v xml:space="preserve">  Sell 1 Lot</v>
      </c>
      <c r="O11" s="196"/>
      <c r="P11" s="196"/>
      <c r="Q11" s="196"/>
      <c r="R11" s="196"/>
    </row>
    <row r="12" spans="2:26" x14ac:dyDescent="0.2">
      <c r="D12" s="236"/>
      <c r="E12" s="236"/>
      <c r="F12" s="78"/>
      <c r="G12" s="78"/>
      <c r="H12" s="78"/>
      <c r="I12" s="235"/>
      <c r="J12" s="235"/>
      <c r="K12" s="235"/>
      <c r="L12" s="68"/>
      <c r="M12" s="68"/>
      <c r="N12" s="196"/>
      <c r="O12" s="196"/>
      <c r="P12" s="196"/>
      <c r="Q12" s="196"/>
      <c r="R12" s="196"/>
    </row>
    <row r="13" spans="2:26" ht="15" x14ac:dyDescent="0.25">
      <c r="D13" s="79"/>
      <c r="E13" s="78"/>
      <c r="F13" s="78"/>
      <c r="G13" s="78"/>
      <c r="H13" s="78"/>
      <c r="I13" s="158"/>
      <c r="J13" s="158"/>
      <c r="K13" s="158"/>
      <c r="Z13" s="174"/>
    </row>
    <row r="14" spans="2:26" x14ac:dyDescent="0.2">
      <c r="D14" s="79"/>
      <c r="E14" s="78"/>
      <c r="F14" s="78"/>
      <c r="G14" s="78"/>
      <c r="H14" s="78"/>
      <c r="I14" s="234">
        <v>1350</v>
      </c>
      <c r="J14" s="234"/>
      <c r="K14" s="234"/>
      <c r="N14" s="232" t="s">
        <v>30</v>
      </c>
      <c r="O14" s="232"/>
      <c r="P14" s="232"/>
    </row>
    <row r="15" spans="2:26" x14ac:dyDescent="0.2">
      <c r="D15" s="179">
        <f>SUM(D5:D13)</f>
        <v>4</v>
      </c>
      <c r="E15" s="179"/>
    </row>
    <row r="16" spans="2:26" ht="15.75" x14ac:dyDescent="0.25">
      <c r="B16" s="186" t="s">
        <v>32</v>
      </c>
      <c r="C16" s="187"/>
      <c r="D16" s="187"/>
      <c r="E16" s="187"/>
      <c r="F16" s="187"/>
      <c r="G16" s="188"/>
    </row>
    <row r="17" spans="2:20" ht="13.5" thickBot="1" x14ac:dyDescent="0.25"/>
    <row r="18" spans="2:20" ht="18.75" thickBot="1" x14ac:dyDescent="0.3">
      <c r="B18" s="200" t="s">
        <v>20</v>
      </c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183" t="s">
        <v>21</v>
      </c>
      <c r="S18" s="184"/>
      <c r="T18" s="70">
        <v>40</v>
      </c>
    </row>
    <row r="19" spans="2:20" x14ac:dyDescent="0.2"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6"/>
      <c r="M19" s="45"/>
      <c r="N19" s="45"/>
      <c r="O19" s="45"/>
      <c r="P19" s="45"/>
      <c r="Q19" s="45"/>
      <c r="R19" s="36"/>
      <c r="S19" s="30"/>
    </row>
    <row r="20" spans="2:20" x14ac:dyDescent="0.2">
      <c r="B20" s="15" t="s">
        <v>15</v>
      </c>
      <c r="C20" s="14" t="s">
        <v>1</v>
      </c>
      <c r="D20" s="2"/>
      <c r="E20" s="2"/>
      <c r="F20" s="2"/>
      <c r="G20" s="2"/>
      <c r="H20" s="2"/>
      <c r="I20" s="2"/>
      <c r="J20" s="2"/>
      <c r="K20" s="2"/>
      <c r="L20" s="39"/>
      <c r="M20" s="2"/>
      <c r="N20" s="2"/>
      <c r="O20" s="2"/>
      <c r="P20" s="2"/>
      <c r="Q20" s="2"/>
      <c r="R20" s="33"/>
      <c r="S20" s="3"/>
    </row>
    <row r="21" spans="2:20" ht="15.75" x14ac:dyDescent="0.25">
      <c r="B21" s="15"/>
      <c r="C21" s="2" t="s">
        <v>2</v>
      </c>
      <c r="D21" s="4">
        <f>I11</f>
        <v>1423</v>
      </c>
      <c r="E21" s="12" t="s">
        <v>5</v>
      </c>
      <c r="F21" s="4">
        <f>I4</f>
        <v>1450</v>
      </c>
      <c r="G21" s="5" t="s">
        <v>6</v>
      </c>
      <c r="H21" s="2">
        <f>IF(D11="",0,D21-F21)</f>
        <v>-27</v>
      </c>
      <c r="I21" s="2" t="s">
        <v>7</v>
      </c>
      <c r="J21" s="2" t="s">
        <v>8</v>
      </c>
      <c r="K21" s="6" t="s">
        <v>9</v>
      </c>
      <c r="L21" s="39">
        <v>100</v>
      </c>
      <c r="M21" s="2" t="s">
        <v>8</v>
      </c>
      <c r="N21" s="1">
        <f>D11</f>
        <v>1</v>
      </c>
      <c r="O21" s="2" t="s">
        <v>10</v>
      </c>
      <c r="P21" s="5"/>
      <c r="Q21" s="6"/>
      <c r="R21" s="31" t="s">
        <v>9</v>
      </c>
      <c r="S21" s="56">
        <f>H21*L21*N21*(-1)</f>
        <v>2700</v>
      </c>
    </row>
    <row r="22" spans="2:20" ht="15.75" x14ac:dyDescent="0.25">
      <c r="B22" s="15"/>
      <c r="C22" s="2" t="s">
        <v>3</v>
      </c>
      <c r="D22" s="4">
        <f>I9</f>
        <v>1428</v>
      </c>
      <c r="E22" s="12" t="s">
        <v>5</v>
      </c>
      <c r="F22" s="4">
        <f>I4</f>
        <v>1450</v>
      </c>
      <c r="G22" s="5" t="s">
        <v>6</v>
      </c>
      <c r="H22" s="2">
        <f>IF(D9="",0,D22-F22)</f>
        <v>-22</v>
      </c>
      <c r="I22" s="2" t="s">
        <v>7</v>
      </c>
      <c r="J22" s="2" t="s">
        <v>8</v>
      </c>
      <c r="K22" s="6" t="s">
        <v>9</v>
      </c>
      <c r="L22" s="39">
        <v>100</v>
      </c>
      <c r="M22" s="2" t="s">
        <v>8</v>
      </c>
      <c r="N22" s="1">
        <f>D9</f>
        <v>1</v>
      </c>
      <c r="O22" s="2" t="s">
        <v>10</v>
      </c>
      <c r="P22" s="5"/>
      <c r="Q22" s="6"/>
      <c r="R22" s="31" t="s">
        <v>9</v>
      </c>
      <c r="S22" s="56">
        <f>H22*L22*N22*(-1)</f>
        <v>2200</v>
      </c>
    </row>
    <row r="23" spans="2:20" ht="15.75" x14ac:dyDescent="0.25">
      <c r="B23" s="15"/>
      <c r="C23" s="2" t="s">
        <v>4</v>
      </c>
      <c r="D23" s="4">
        <f>I7</f>
        <v>1431</v>
      </c>
      <c r="E23" s="12" t="s">
        <v>5</v>
      </c>
      <c r="F23" s="4">
        <f>I4</f>
        <v>1450</v>
      </c>
      <c r="G23" s="5" t="s">
        <v>6</v>
      </c>
      <c r="H23" s="2">
        <f>IF(D7="",0,D23-F23)</f>
        <v>-19</v>
      </c>
      <c r="I23" s="2" t="s">
        <v>7</v>
      </c>
      <c r="J23" s="2" t="s">
        <v>8</v>
      </c>
      <c r="K23" s="6" t="s">
        <v>9</v>
      </c>
      <c r="L23" s="39">
        <v>100</v>
      </c>
      <c r="M23" s="2" t="s">
        <v>8</v>
      </c>
      <c r="N23" s="1">
        <f>D7</f>
        <v>1</v>
      </c>
      <c r="O23" s="2" t="s">
        <v>10</v>
      </c>
      <c r="P23" s="5"/>
      <c r="Q23" s="6"/>
      <c r="R23" s="31" t="s">
        <v>9</v>
      </c>
      <c r="S23" s="56">
        <f>H23*L23*N23*(-1)</f>
        <v>1900</v>
      </c>
      <c r="T23" s="41"/>
    </row>
    <row r="24" spans="2:20" ht="16.5" thickBot="1" x14ac:dyDescent="0.3">
      <c r="B24" s="15"/>
      <c r="C24" s="2" t="s">
        <v>26</v>
      </c>
      <c r="D24" s="4">
        <f>I5</f>
        <v>1439</v>
      </c>
      <c r="E24" s="12" t="s">
        <v>5</v>
      </c>
      <c r="F24" s="4">
        <f>I4</f>
        <v>1450</v>
      </c>
      <c r="G24" s="5" t="s">
        <v>6</v>
      </c>
      <c r="H24" s="2">
        <f>IF(D5="",0,D24-F24)</f>
        <v>-11</v>
      </c>
      <c r="I24" s="2" t="s">
        <v>7</v>
      </c>
      <c r="J24" s="2" t="s">
        <v>8</v>
      </c>
      <c r="K24" s="6" t="s">
        <v>9</v>
      </c>
      <c r="L24" s="39">
        <v>100</v>
      </c>
      <c r="M24" s="2" t="s">
        <v>8</v>
      </c>
      <c r="N24" s="1">
        <f>D5</f>
        <v>1</v>
      </c>
      <c r="O24" s="2" t="s">
        <v>10</v>
      </c>
      <c r="P24" s="5"/>
      <c r="Q24" s="6"/>
      <c r="R24" s="31" t="s">
        <v>9</v>
      </c>
      <c r="S24" s="56">
        <f>H24*L24*N24*(-1)</f>
        <v>1100</v>
      </c>
      <c r="T24" s="41"/>
    </row>
    <row r="25" spans="2:20" ht="16.5" thickBot="1" x14ac:dyDescent="0.3">
      <c r="B25" s="15"/>
      <c r="C25" s="14" t="s">
        <v>11</v>
      </c>
      <c r="D25" s="2"/>
      <c r="E25" s="2"/>
      <c r="F25" s="2"/>
      <c r="G25" s="2"/>
      <c r="H25" s="2"/>
      <c r="I25" s="2"/>
      <c r="J25" s="2"/>
      <c r="K25" s="2"/>
      <c r="L25" s="39"/>
      <c r="M25" s="2"/>
      <c r="N25" s="2"/>
      <c r="O25" s="2"/>
      <c r="P25" s="5"/>
      <c r="Q25" s="55"/>
      <c r="R25" s="54" t="s">
        <v>9</v>
      </c>
      <c r="S25" s="159">
        <f>SUM(S21:S24)</f>
        <v>7900</v>
      </c>
    </row>
    <row r="26" spans="2:20" ht="15" x14ac:dyDescent="0.2">
      <c r="B26" s="15"/>
      <c r="C26" s="2"/>
      <c r="D26" s="2"/>
      <c r="E26" s="2"/>
      <c r="F26" s="2"/>
      <c r="G26" s="2"/>
      <c r="H26" s="2"/>
      <c r="I26" s="2"/>
      <c r="J26" s="2"/>
      <c r="K26" s="2"/>
      <c r="L26" s="39"/>
      <c r="M26" s="2"/>
      <c r="N26" s="2"/>
      <c r="O26" s="2"/>
      <c r="P26" s="5"/>
      <c r="Q26" s="6"/>
      <c r="R26" s="33"/>
      <c r="S26" s="21"/>
    </row>
    <row r="27" spans="2:20" ht="15" x14ac:dyDescent="0.2">
      <c r="B27" s="15" t="s">
        <v>16</v>
      </c>
      <c r="C27" s="14" t="s">
        <v>14</v>
      </c>
      <c r="D27" s="2"/>
      <c r="E27" s="2"/>
      <c r="F27" s="2"/>
      <c r="G27" s="2"/>
      <c r="H27" s="2"/>
      <c r="I27" s="2"/>
      <c r="J27" s="2"/>
      <c r="K27" s="2"/>
      <c r="L27" s="39"/>
      <c r="M27" s="2"/>
      <c r="N27" s="2"/>
      <c r="O27" s="2"/>
      <c r="P27" s="5"/>
      <c r="Q27" s="6"/>
      <c r="R27" s="33"/>
      <c r="S27" s="21"/>
    </row>
    <row r="28" spans="2:20" ht="15.75" x14ac:dyDescent="0.25">
      <c r="B28" s="15"/>
      <c r="C28" s="2" t="s">
        <v>2</v>
      </c>
      <c r="D28" s="1">
        <f>I11</f>
        <v>1423</v>
      </c>
      <c r="E28" s="65" t="s">
        <v>5</v>
      </c>
      <c r="F28" s="1">
        <f>I14</f>
        <v>1350</v>
      </c>
      <c r="G28" s="5" t="s">
        <v>6</v>
      </c>
      <c r="H28" s="1">
        <f>IF(D11="",0,D28-F28)</f>
        <v>73</v>
      </c>
      <c r="I28" s="1" t="s">
        <v>7</v>
      </c>
      <c r="J28" s="11" t="s">
        <v>8</v>
      </c>
      <c r="K28" s="27" t="s">
        <v>9</v>
      </c>
      <c r="L28" s="39">
        <v>100</v>
      </c>
      <c r="M28" s="11" t="s">
        <v>8</v>
      </c>
      <c r="N28" s="1">
        <f>D11</f>
        <v>1</v>
      </c>
      <c r="O28" s="11" t="s">
        <v>10</v>
      </c>
      <c r="P28" s="5"/>
      <c r="Q28" s="2"/>
      <c r="R28" s="31" t="s">
        <v>9</v>
      </c>
      <c r="S28" s="40">
        <f>H28*L28*N28</f>
        <v>7300</v>
      </c>
    </row>
    <row r="29" spans="2:20" ht="15.75" x14ac:dyDescent="0.25">
      <c r="B29" s="15"/>
      <c r="C29" s="2" t="s">
        <v>3</v>
      </c>
      <c r="D29" s="1">
        <f>I9</f>
        <v>1428</v>
      </c>
      <c r="E29" s="65" t="s">
        <v>5</v>
      </c>
      <c r="F29" s="1">
        <f>I14</f>
        <v>1350</v>
      </c>
      <c r="G29" s="5" t="s">
        <v>6</v>
      </c>
      <c r="H29" s="1">
        <f>IF(D9="",0,D29-F29)</f>
        <v>78</v>
      </c>
      <c r="I29" s="1" t="s">
        <v>7</v>
      </c>
      <c r="J29" s="11" t="s">
        <v>8</v>
      </c>
      <c r="K29" s="27" t="s">
        <v>9</v>
      </c>
      <c r="L29" s="39">
        <v>100</v>
      </c>
      <c r="M29" s="11" t="s">
        <v>8</v>
      </c>
      <c r="N29" s="1">
        <f>D9</f>
        <v>1</v>
      </c>
      <c r="O29" s="11" t="s">
        <v>10</v>
      </c>
      <c r="P29" s="5"/>
      <c r="Q29" s="2"/>
      <c r="R29" s="31" t="s">
        <v>9</v>
      </c>
      <c r="S29" s="20">
        <f>H29*L29*N29</f>
        <v>7800</v>
      </c>
    </row>
    <row r="30" spans="2:20" ht="15.75" x14ac:dyDescent="0.25">
      <c r="B30" s="15"/>
      <c r="C30" s="2" t="s">
        <v>4</v>
      </c>
      <c r="D30" s="1">
        <f>I7</f>
        <v>1431</v>
      </c>
      <c r="E30" s="65" t="s">
        <v>5</v>
      </c>
      <c r="F30" s="1">
        <f>I14</f>
        <v>1350</v>
      </c>
      <c r="G30" s="5" t="s">
        <v>6</v>
      </c>
      <c r="H30" s="1">
        <f>IF(D7="",0,D30-F30)</f>
        <v>81</v>
      </c>
      <c r="I30" s="1" t="s">
        <v>7</v>
      </c>
      <c r="J30" s="11" t="s">
        <v>8</v>
      </c>
      <c r="K30" s="27" t="s">
        <v>9</v>
      </c>
      <c r="L30" s="39">
        <v>100</v>
      </c>
      <c r="M30" s="11" t="s">
        <v>8</v>
      </c>
      <c r="N30" s="1">
        <f>D7</f>
        <v>1</v>
      </c>
      <c r="O30" s="11" t="s">
        <v>10</v>
      </c>
      <c r="P30" s="5"/>
      <c r="Q30" s="2"/>
      <c r="R30" s="31" t="s">
        <v>9</v>
      </c>
      <c r="S30" s="20">
        <f>H30*L30*N30</f>
        <v>8100</v>
      </c>
    </row>
    <row r="31" spans="2:20" ht="16.5" thickBot="1" x14ac:dyDescent="0.3">
      <c r="B31" s="15"/>
      <c r="C31" s="2" t="s">
        <v>26</v>
      </c>
      <c r="D31" s="1">
        <f>I5</f>
        <v>1439</v>
      </c>
      <c r="E31" s="65" t="s">
        <v>5</v>
      </c>
      <c r="F31" s="1">
        <f>I14</f>
        <v>1350</v>
      </c>
      <c r="G31" s="5" t="s">
        <v>6</v>
      </c>
      <c r="H31" s="1">
        <f>IF(D5="",0,D31-F31)</f>
        <v>89</v>
      </c>
      <c r="I31" s="1" t="s">
        <v>7</v>
      </c>
      <c r="J31" s="11" t="s">
        <v>8</v>
      </c>
      <c r="K31" s="27" t="s">
        <v>9</v>
      </c>
      <c r="L31" s="39">
        <v>100</v>
      </c>
      <c r="M31" s="11" t="s">
        <v>8</v>
      </c>
      <c r="N31" s="1">
        <f>D5</f>
        <v>1</v>
      </c>
      <c r="O31" s="11" t="s">
        <v>10</v>
      </c>
      <c r="P31" s="5"/>
      <c r="Q31" s="2"/>
      <c r="R31" s="31" t="s">
        <v>9</v>
      </c>
      <c r="S31" s="20">
        <f>H31*L31*N31</f>
        <v>8900</v>
      </c>
    </row>
    <row r="32" spans="2:20" ht="16.5" thickBot="1" x14ac:dyDescent="0.3">
      <c r="B32" s="15"/>
      <c r="C32" s="14" t="s">
        <v>12</v>
      </c>
      <c r="D32" s="1"/>
      <c r="E32" s="2"/>
      <c r="F32" s="1"/>
      <c r="G32" s="5"/>
      <c r="H32" s="1"/>
      <c r="I32" s="1"/>
      <c r="J32" s="11"/>
      <c r="K32" s="11"/>
      <c r="L32" s="2"/>
      <c r="M32" s="11"/>
      <c r="N32" s="2"/>
      <c r="O32" s="11"/>
      <c r="P32" s="5"/>
      <c r="Q32" s="2"/>
      <c r="R32" s="32" t="s">
        <v>9</v>
      </c>
      <c r="S32" s="160">
        <f>SUM(S28:S31)</f>
        <v>32100</v>
      </c>
    </row>
    <row r="33" spans="2:19" ht="15.75" x14ac:dyDescent="0.25">
      <c r="B33" s="15"/>
      <c r="C33" s="2"/>
      <c r="D33" s="1"/>
      <c r="E33" s="2"/>
      <c r="F33" s="1"/>
      <c r="G33" s="5"/>
      <c r="H33" s="1"/>
      <c r="I33" s="1"/>
      <c r="J33" s="11"/>
      <c r="K33" s="11"/>
      <c r="L33" s="2"/>
      <c r="M33" s="11"/>
      <c r="N33" s="2"/>
      <c r="O33" s="11"/>
      <c r="P33" s="5"/>
      <c r="Q33" s="2"/>
      <c r="R33" s="31"/>
      <c r="S33" s="20"/>
    </row>
    <row r="34" spans="2:19" ht="15.75" x14ac:dyDescent="0.25">
      <c r="B34" s="15" t="s">
        <v>17</v>
      </c>
      <c r="C34" s="16" t="s">
        <v>18</v>
      </c>
      <c r="D34" s="1"/>
      <c r="E34" s="2"/>
      <c r="F34" s="1"/>
      <c r="G34" s="5"/>
      <c r="H34" s="1"/>
      <c r="I34" s="1"/>
      <c r="J34" s="11"/>
      <c r="K34" s="11"/>
      <c r="L34" s="2"/>
      <c r="M34" s="11"/>
      <c r="N34" s="2"/>
      <c r="O34" s="11"/>
      <c r="P34" s="5"/>
      <c r="Q34" s="2"/>
      <c r="R34" s="31"/>
      <c r="S34" s="20"/>
    </row>
    <row r="35" spans="2:19" ht="15.75" x14ac:dyDescent="0.25">
      <c r="B35" s="15"/>
      <c r="C35" s="2" t="s">
        <v>31</v>
      </c>
      <c r="D35" s="2"/>
      <c r="E35" s="2"/>
      <c r="F35" s="2"/>
      <c r="G35" s="175">
        <v>2000</v>
      </c>
      <c r="H35" s="175"/>
      <c r="I35" s="28"/>
      <c r="J35" s="2"/>
      <c r="K35" s="2"/>
      <c r="L35" s="2"/>
      <c r="M35" s="2"/>
      <c r="N35" s="2"/>
      <c r="O35" s="2"/>
      <c r="P35" s="2"/>
      <c r="Q35" s="2"/>
      <c r="R35" s="31"/>
      <c r="S35" s="22"/>
    </row>
    <row r="36" spans="2:19" ht="15.75" x14ac:dyDescent="0.25">
      <c r="B36" s="15"/>
      <c r="C36" s="2" t="str">
        <f>"Total Lot yang diperdagangkan  :  "&amp;D15&amp;" Lot"</f>
        <v>Total Lot yang diperdagangkan  :  4 Lot</v>
      </c>
      <c r="D36" s="2"/>
      <c r="E36" s="2"/>
      <c r="F36" s="2"/>
      <c r="G36" s="2"/>
      <c r="H36" s="29"/>
      <c r="I36" s="8"/>
      <c r="J36" s="2"/>
      <c r="K36" s="2"/>
      <c r="L36" s="2"/>
      <c r="M36" s="2"/>
      <c r="N36" s="2"/>
      <c r="O36" s="2"/>
      <c r="P36" s="2"/>
      <c r="Q36" s="2"/>
      <c r="R36" s="31"/>
      <c r="S36" s="22"/>
    </row>
    <row r="37" spans="2:19" ht="15.75" x14ac:dyDescent="0.25">
      <c r="B37" s="15"/>
      <c r="C37" s="2" t="str">
        <f>"Maka jaminan yang dibutuhkan  :  $. 2.000 * "&amp;D15&amp;" Lot"</f>
        <v>Maka jaminan yang dibutuhkan  :  $. 2.000 * 4 Lot</v>
      </c>
      <c r="D37" s="2"/>
      <c r="E37" s="2"/>
      <c r="F37" s="2"/>
      <c r="G37" s="2"/>
      <c r="H37" s="2"/>
      <c r="I37" s="1"/>
      <c r="J37" s="2"/>
      <c r="K37" s="1"/>
      <c r="L37" s="1"/>
      <c r="M37" s="2"/>
      <c r="N37" s="2"/>
      <c r="O37" s="2"/>
      <c r="P37" s="5"/>
      <c r="Q37" s="5"/>
      <c r="R37" s="37" t="s">
        <v>9</v>
      </c>
      <c r="S37" s="20">
        <f>D15*G35</f>
        <v>8000</v>
      </c>
    </row>
    <row r="38" spans="2:19" ht="15.75" x14ac:dyDescent="0.25">
      <c r="B38" s="1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1"/>
      <c r="S38" s="22"/>
    </row>
    <row r="39" spans="2:19" ht="15.75" x14ac:dyDescent="0.25">
      <c r="B39" s="15"/>
      <c r="C39" s="16" t="s">
        <v>1</v>
      </c>
      <c r="D39" s="2"/>
      <c r="E39" s="2"/>
      <c r="F39" s="2"/>
      <c r="G39" s="2"/>
      <c r="H39" s="6"/>
      <c r="I39" s="2"/>
      <c r="J39" s="2"/>
      <c r="K39" s="9"/>
      <c r="L39" s="9"/>
      <c r="M39" s="2"/>
      <c r="N39" s="6"/>
      <c r="O39" s="7"/>
      <c r="P39" s="5"/>
      <c r="Q39" s="2"/>
      <c r="R39" s="31" t="s">
        <v>9</v>
      </c>
      <c r="S39" s="23">
        <f>S25</f>
        <v>7900</v>
      </c>
    </row>
    <row r="40" spans="2:19" ht="16.5" thickBot="1" x14ac:dyDescent="0.3">
      <c r="B40" s="47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9"/>
      <c r="O40" s="50"/>
      <c r="P40" s="51"/>
      <c r="Q40" s="51"/>
      <c r="R40" s="52"/>
      <c r="S40" s="53"/>
    </row>
    <row r="41" spans="2:19" ht="16.5" thickBot="1" x14ac:dyDescent="0.25">
      <c r="B41" s="10"/>
      <c r="C41" s="17" t="s">
        <v>13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38" t="s">
        <v>9</v>
      </c>
      <c r="S41" s="161">
        <f>S37+S39</f>
        <v>15900</v>
      </c>
    </row>
    <row r="42" spans="2:19" x14ac:dyDescent="0.2">
      <c r="B42" s="176">
        <f ca="1">TODAY()</f>
        <v>44518</v>
      </c>
      <c r="C42" s="176"/>
    </row>
  </sheetData>
  <mergeCells count="24">
    <mergeCell ref="B1:S1"/>
    <mergeCell ref="B3:G3"/>
    <mergeCell ref="K3:L3"/>
    <mergeCell ref="I4:K4"/>
    <mergeCell ref="D5:E6"/>
    <mergeCell ref="I5:K6"/>
    <mergeCell ref="N5:R6"/>
    <mergeCell ref="I7:K8"/>
    <mergeCell ref="D11:E12"/>
    <mergeCell ref="I11:K12"/>
    <mergeCell ref="N11:R12"/>
    <mergeCell ref="N7:R8"/>
    <mergeCell ref="D9:E10"/>
    <mergeCell ref="I9:K10"/>
    <mergeCell ref="N9:R10"/>
    <mergeCell ref="D7:E8"/>
    <mergeCell ref="R18:S18"/>
    <mergeCell ref="B42:C42"/>
    <mergeCell ref="I14:K14"/>
    <mergeCell ref="N14:P14"/>
    <mergeCell ref="D15:E15"/>
    <mergeCell ref="B16:G16"/>
    <mergeCell ref="B18:Q18"/>
    <mergeCell ref="G35:H35"/>
  </mergeCells>
  <phoneticPr fontId="2" type="noConversion"/>
  <pageMargins left="0.5" right="0.5" top="1" bottom="1" header="0.5" footer="0.5"/>
  <pageSetup paperSize="9" orientation="portrait" horizont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C48"/>
  <sheetViews>
    <sheetView topLeftCell="A4" zoomScale="70" zoomScaleNormal="70" workbookViewId="0">
      <selection activeCell="T11" sqref="T11"/>
    </sheetView>
  </sheetViews>
  <sheetFormatPr defaultRowHeight="12.75" x14ac:dyDescent="0.2"/>
  <cols>
    <col min="1" max="1" width="4.85546875" customWidth="1"/>
    <col min="2" max="2" width="3" customWidth="1"/>
    <col min="3" max="3" width="7" customWidth="1"/>
    <col min="4" max="4" width="8.85546875" customWidth="1"/>
    <col min="5" max="5" width="3" customWidth="1"/>
    <col min="6" max="6" width="8" customWidth="1"/>
    <col min="7" max="7" width="2" customWidth="1"/>
    <col min="8" max="8" width="5" customWidth="1"/>
    <col min="9" max="9" width="4.28515625" customWidth="1"/>
    <col min="10" max="10" width="1.7109375" customWidth="1"/>
    <col min="11" max="11" width="2.85546875" customWidth="1"/>
    <col min="12" max="12" width="5.42578125" bestFit="1" customWidth="1"/>
    <col min="13" max="13" width="1.5703125" customWidth="1"/>
    <col min="14" max="15" width="3.42578125" customWidth="1"/>
    <col min="16" max="16" width="4" bestFit="1" customWidth="1"/>
    <col min="17" max="17" width="1.5703125" customWidth="1"/>
    <col min="18" max="18" width="3.42578125" style="34" customWidth="1"/>
    <col min="19" max="19" width="13.5703125" customWidth="1"/>
    <col min="20" max="20" width="10.28515625" bestFit="1" customWidth="1"/>
    <col min="21" max="22" width="0" hidden="1" customWidth="1"/>
  </cols>
  <sheetData>
    <row r="1" spans="2:29" ht="21" thickBot="1" x14ac:dyDescent="0.35">
      <c r="B1" s="189" t="s">
        <v>62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</row>
    <row r="2" spans="2:29" ht="13.5" thickTop="1" x14ac:dyDescent="0.2"/>
    <row r="3" spans="2:29" x14ac:dyDescent="0.2">
      <c r="B3" s="190" t="s">
        <v>19</v>
      </c>
      <c r="C3" s="190"/>
      <c r="D3" s="190"/>
      <c r="E3" s="190"/>
      <c r="F3" s="190"/>
      <c r="G3" s="190"/>
      <c r="K3" s="190"/>
      <c r="L3" s="190"/>
    </row>
    <row r="4" spans="2:29" x14ac:dyDescent="0.2">
      <c r="D4" s="1"/>
      <c r="I4" s="246">
        <v>1320</v>
      </c>
      <c r="J4" s="246"/>
      <c r="K4" s="246"/>
      <c r="L4" s="24"/>
      <c r="M4" s="25"/>
      <c r="N4" s="25" t="s">
        <v>28</v>
      </c>
      <c r="R4" s="35"/>
    </row>
    <row r="5" spans="2:29" x14ac:dyDescent="0.2">
      <c r="D5" s="2"/>
      <c r="I5" s="151"/>
      <c r="J5" s="151"/>
      <c r="K5" s="151"/>
      <c r="L5" s="14"/>
      <c r="M5" s="25"/>
      <c r="N5" s="25"/>
      <c r="O5" s="25"/>
      <c r="P5" s="25"/>
      <c r="Q5" s="25"/>
      <c r="R5" s="35"/>
    </row>
    <row r="6" spans="2:29" x14ac:dyDescent="0.2">
      <c r="D6" s="180">
        <v>4</v>
      </c>
      <c r="E6" s="180"/>
      <c r="I6" s="245">
        <v>1300</v>
      </c>
      <c r="J6" s="245"/>
      <c r="K6" s="245"/>
      <c r="L6" s="67"/>
      <c r="M6" s="61"/>
      <c r="N6" s="196" t="str">
        <f>" Sell "&amp;D6&amp;" Lot"</f>
        <v xml:space="preserve"> Sell 4 Lot</v>
      </c>
      <c r="O6" s="196"/>
      <c r="P6" s="196"/>
      <c r="Q6" s="196"/>
      <c r="R6" s="196"/>
      <c r="U6" t="s">
        <v>22</v>
      </c>
      <c r="V6">
        <v>10349</v>
      </c>
      <c r="AC6" s="193"/>
    </row>
    <row r="7" spans="2:29" x14ac:dyDescent="0.2">
      <c r="D7" s="180"/>
      <c r="E7" s="180"/>
      <c r="I7" s="245"/>
      <c r="J7" s="245"/>
      <c r="K7" s="245"/>
      <c r="L7" s="62"/>
      <c r="M7" s="61"/>
      <c r="N7" s="196"/>
      <c r="O7" s="196"/>
      <c r="P7" s="196"/>
      <c r="Q7" s="196"/>
      <c r="R7" s="196"/>
      <c r="U7" t="s">
        <v>23</v>
      </c>
      <c r="V7" s="43">
        <f>V6-S29</f>
        <v>-33651</v>
      </c>
      <c r="AC7" s="193"/>
    </row>
    <row r="8" spans="2:29" x14ac:dyDescent="0.2">
      <c r="D8" s="180">
        <v>4</v>
      </c>
      <c r="E8" s="180"/>
      <c r="I8" s="245">
        <v>1290</v>
      </c>
      <c r="J8" s="245"/>
      <c r="K8" s="245"/>
      <c r="L8" s="67"/>
      <c r="M8" s="61"/>
      <c r="N8" s="196" t="str">
        <f>" Sell "&amp;D8&amp;" Lot"</f>
        <v xml:space="preserve"> Sell 4 Lot</v>
      </c>
      <c r="O8" s="196"/>
      <c r="P8" s="196"/>
      <c r="Q8" s="196"/>
      <c r="R8" s="196"/>
      <c r="T8" s="42"/>
      <c r="U8" t="s">
        <v>24</v>
      </c>
      <c r="V8">
        <f>D14*1000</f>
        <v>1000</v>
      </c>
    </row>
    <row r="9" spans="2:29" x14ac:dyDescent="0.2">
      <c r="D9" s="180"/>
      <c r="E9" s="180"/>
      <c r="I9" s="245"/>
      <c r="J9" s="245"/>
      <c r="K9" s="245"/>
      <c r="L9" s="62"/>
      <c r="M9" s="61"/>
      <c r="N9" s="196"/>
      <c r="O9" s="196"/>
      <c r="P9" s="196"/>
      <c r="Q9" s="196"/>
      <c r="R9" s="196"/>
      <c r="U9" t="s">
        <v>25</v>
      </c>
      <c r="V9" s="43">
        <f>V7-V8</f>
        <v>-34651</v>
      </c>
    </row>
    <row r="10" spans="2:29" x14ac:dyDescent="0.2">
      <c r="D10" s="177">
        <v>2</v>
      </c>
      <c r="E10" s="177"/>
      <c r="I10" s="245">
        <v>1280</v>
      </c>
      <c r="J10" s="245"/>
      <c r="K10" s="245"/>
      <c r="L10" s="67"/>
      <c r="M10" s="61"/>
      <c r="N10" s="196" t="str">
        <f>" Sell "&amp;D10&amp;" Lot"</f>
        <v xml:space="preserve"> Sell 2 Lot</v>
      </c>
      <c r="O10" s="196"/>
      <c r="P10" s="196"/>
      <c r="Q10" s="196"/>
      <c r="R10" s="196"/>
    </row>
    <row r="11" spans="2:29" x14ac:dyDescent="0.2">
      <c r="D11" s="177"/>
      <c r="E11" s="177"/>
      <c r="I11" s="245"/>
      <c r="J11" s="245"/>
      <c r="K11" s="245"/>
      <c r="L11" s="62"/>
      <c r="M11" s="61"/>
      <c r="N11" s="196"/>
      <c r="O11" s="196"/>
      <c r="P11" s="196"/>
      <c r="Q11" s="196"/>
      <c r="R11" s="196"/>
    </row>
    <row r="12" spans="2:29" x14ac:dyDescent="0.2">
      <c r="D12" s="177">
        <v>2</v>
      </c>
      <c r="E12" s="177"/>
      <c r="I12" s="245">
        <v>1270</v>
      </c>
      <c r="J12" s="245"/>
      <c r="K12" s="245"/>
      <c r="L12" s="67"/>
      <c r="M12" s="61"/>
      <c r="N12" s="196" t="str">
        <f>" Sell "&amp;D12&amp;" Lot"</f>
        <v xml:space="preserve"> Sell 2 Lot</v>
      </c>
      <c r="O12" s="196"/>
      <c r="P12" s="196"/>
      <c r="Q12" s="196"/>
      <c r="R12" s="196"/>
    </row>
    <row r="13" spans="2:29" x14ac:dyDescent="0.2">
      <c r="D13" s="177"/>
      <c r="E13" s="177"/>
      <c r="I13" s="245"/>
      <c r="J13" s="245"/>
      <c r="K13" s="245"/>
      <c r="L13" s="62"/>
      <c r="M13" s="61"/>
      <c r="N13" s="196"/>
      <c r="O13" s="196"/>
      <c r="P13" s="196"/>
      <c r="Q13" s="196"/>
      <c r="R13" s="196"/>
    </row>
    <row r="14" spans="2:29" x14ac:dyDescent="0.2">
      <c r="D14" s="204">
        <v>1</v>
      </c>
      <c r="E14" s="204"/>
      <c r="I14" s="245">
        <v>1260</v>
      </c>
      <c r="J14" s="245"/>
      <c r="K14" s="245"/>
      <c r="L14" s="67"/>
      <c r="M14" s="68"/>
      <c r="N14" s="196" t="str">
        <f>" Sell "&amp;D14&amp;" Lot"</f>
        <v xml:space="preserve"> Sell 1 Lot</v>
      </c>
      <c r="O14" s="196"/>
      <c r="P14" s="196"/>
      <c r="Q14" s="196"/>
      <c r="R14" s="196"/>
    </row>
    <row r="15" spans="2:29" x14ac:dyDescent="0.2">
      <c r="D15" s="204"/>
      <c r="E15" s="204"/>
      <c r="I15" s="245"/>
      <c r="J15" s="245"/>
      <c r="K15" s="245"/>
      <c r="L15" s="68"/>
      <c r="M15" s="68"/>
      <c r="N15" s="196"/>
      <c r="O15" s="196"/>
      <c r="P15" s="196"/>
      <c r="Q15" s="196"/>
      <c r="R15" s="196"/>
    </row>
    <row r="16" spans="2:29" x14ac:dyDescent="0.2">
      <c r="D16" s="13"/>
      <c r="I16" s="152"/>
      <c r="J16" s="152"/>
      <c r="K16" s="152"/>
    </row>
    <row r="17" spans="2:20" x14ac:dyDescent="0.2">
      <c r="D17" s="13"/>
      <c r="I17" s="241">
        <v>1218</v>
      </c>
      <c r="J17" s="241"/>
      <c r="K17" s="241"/>
      <c r="N17" s="232" t="s">
        <v>30</v>
      </c>
      <c r="O17" s="232"/>
      <c r="P17" s="232"/>
      <c r="Q17" s="232"/>
      <c r="R17" s="232"/>
    </row>
    <row r="18" spans="2:20" x14ac:dyDescent="0.2">
      <c r="D18" s="179">
        <f>SUM(D6:D16)</f>
        <v>13</v>
      </c>
      <c r="E18" s="179"/>
    </row>
    <row r="19" spans="2:20" ht="21.75" customHeight="1" x14ac:dyDescent="0.2">
      <c r="B19" s="242" t="s">
        <v>32</v>
      </c>
      <c r="C19" s="243"/>
      <c r="D19" s="243"/>
      <c r="E19" s="243"/>
      <c r="F19" s="243"/>
      <c r="G19" s="244"/>
    </row>
    <row r="20" spans="2:20" ht="13.5" thickBot="1" x14ac:dyDescent="0.25"/>
    <row r="21" spans="2:20" ht="18.75" thickBot="1" x14ac:dyDescent="0.3">
      <c r="B21" s="200" t="s">
        <v>20</v>
      </c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183" t="s">
        <v>21</v>
      </c>
      <c r="S21" s="184"/>
      <c r="T21" s="70">
        <v>10</v>
      </c>
    </row>
    <row r="22" spans="2:20" x14ac:dyDescent="0.2"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6"/>
      <c r="M22" s="45"/>
      <c r="N22" s="45"/>
      <c r="O22" s="45"/>
      <c r="P22" s="45"/>
      <c r="Q22" s="45"/>
      <c r="R22" s="36"/>
      <c r="S22" s="30"/>
    </row>
    <row r="23" spans="2:20" x14ac:dyDescent="0.2">
      <c r="B23" s="15" t="s">
        <v>15</v>
      </c>
      <c r="C23" s="14" t="s">
        <v>1</v>
      </c>
      <c r="D23" s="2"/>
      <c r="E23" s="2"/>
      <c r="F23" s="2"/>
      <c r="G23" s="2"/>
      <c r="H23" s="2"/>
      <c r="I23" s="2"/>
      <c r="J23" s="2"/>
      <c r="K23" s="2"/>
      <c r="L23" s="39"/>
      <c r="M23" s="2"/>
      <c r="N23" s="2"/>
      <c r="O23" s="2"/>
      <c r="P23" s="2"/>
      <c r="Q23" s="2"/>
      <c r="R23" s="33"/>
      <c r="S23" s="3"/>
    </row>
    <row r="24" spans="2:20" ht="15.75" x14ac:dyDescent="0.25">
      <c r="B24" s="15"/>
      <c r="C24" s="2" t="s">
        <v>2</v>
      </c>
      <c r="D24" s="4">
        <f>I14</f>
        <v>1260</v>
      </c>
      <c r="E24" s="12" t="s">
        <v>5</v>
      </c>
      <c r="F24" s="4">
        <f>I4</f>
        <v>1320</v>
      </c>
      <c r="G24" s="5" t="s">
        <v>6</v>
      </c>
      <c r="H24" s="2">
        <f>IF(D14="",0,D24-F24)</f>
        <v>-60</v>
      </c>
      <c r="I24" s="2" t="s">
        <v>7</v>
      </c>
      <c r="J24" s="2" t="s">
        <v>8</v>
      </c>
      <c r="K24" s="6" t="s">
        <v>9</v>
      </c>
      <c r="L24" s="39">
        <v>100</v>
      </c>
      <c r="M24" s="2" t="s">
        <v>8</v>
      </c>
      <c r="N24" s="1">
        <f>D14</f>
        <v>1</v>
      </c>
      <c r="O24" s="2" t="s">
        <v>10</v>
      </c>
      <c r="P24" s="5"/>
      <c r="Q24" s="6"/>
      <c r="R24" s="31" t="s">
        <v>9</v>
      </c>
      <c r="S24" s="56">
        <f>H24*L24*N24*(-1)</f>
        <v>6000</v>
      </c>
    </row>
    <row r="25" spans="2:20" ht="15.75" x14ac:dyDescent="0.25">
      <c r="B25" s="15"/>
      <c r="C25" s="2" t="s">
        <v>3</v>
      </c>
      <c r="D25" s="4">
        <f>I12</f>
        <v>1270</v>
      </c>
      <c r="E25" s="12" t="s">
        <v>5</v>
      </c>
      <c r="F25" s="4">
        <f>I4</f>
        <v>1320</v>
      </c>
      <c r="G25" s="5" t="s">
        <v>6</v>
      </c>
      <c r="H25" s="2">
        <f>IF(D12="",0,D25-F25)</f>
        <v>-50</v>
      </c>
      <c r="I25" s="2" t="s">
        <v>7</v>
      </c>
      <c r="J25" s="2" t="s">
        <v>8</v>
      </c>
      <c r="K25" s="6" t="s">
        <v>9</v>
      </c>
      <c r="L25" s="39">
        <v>100</v>
      </c>
      <c r="M25" s="2" t="s">
        <v>8</v>
      </c>
      <c r="N25" s="1">
        <f>D12</f>
        <v>2</v>
      </c>
      <c r="O25" s="2" t="s">
        <v>10</v>
      </c>
      <c r="P25" s="5"/>
      <c r="Q25" s="6"/>
      <c r="R25" s="31" t="s">
        <v>9</v>
      </c>
      <c r="S25" s="56">
        <f>H25*L25*N25*(-1)</f>
        <v>10000</v>
      </c>
    </row>
    <row r="26" spans="2:20" ht="15.75" x14ac:dyDescent="0.25">
      <c r="B26" s="15"/>
      <c r="C26" s="2" t="s">
        <v>4</v>
      </c>
      <c r="D26" s="4">
        <f>I10</f>
        <v>1280</v>
      </c>
      <c r="E26" s="12" t="s">
        <v>5</v>
      </c>
      <c r="F26" s="4">
        <f>I4</f>
        <v>1320</v>
      </c>
      <c r="G26" s="5" t="s">
        <v>6</v>
      </c>
      <c r="H26" s="2">
        <f>IF(D10="",0,D26-F26)</f>
        <v>-40</v>
      </c>
      <c r="I26" s="2" t="s">
        <v>7</v>
      </c>
      <c r="J26" s="2" t="s">
        <v>8</v>
      </c>
      <c r="K26" s="6" t="s">
        <v>9</v>
      </c>
      <c r="L26" s="39">
        <v>100</v>
      </c>
      <c r="M26" s="2" t="s">
        <v>8</v>
      </c>
      <c r="N26" s="1">
        <f>D10</f>
        <v>2</v>
      </c>
      <c r="O26" s="2" t="s">
        <v>10</v>
      </c>
      <c r="P26" s="5"/>
      <c r="Q26" s="6"/>
      <c r="R26" s="31" t="s">
        <v>9</v>
      </c>
      <c r="S26" s="56">
        <f>H26*L26*N26*(-1)</f>
        <v>8000</v>
      </c>
      <c r="T26" s="41"/>
    </row>
    <row r="27" spans="2:20" ht="15.75" x14ac:dyDescent="0.25">
      <c r="B27" s="15"/>
      <c r="C27" s="2" t="s">
        <v>26</v>
      </c>
      <c r="D27" s="4">
        <f>I8</f>
        <v>1290</v>
      </c>
      <c r="E27" s="12" t="s">
        <v>5</v>
      </c>
      <c r="F27" s="4">
        <f>I4</f>
        <v>1320</v>
      </c>
      <c r="G27" s="5" t="s">
        <v>6</v>
      </c>
      <c r="H27" s="2">
        <f>IF(D8="",0,D27-F27)</f>
        <v>-30</v>
      </c>
      <c r="I27" s="2" t="s">
        <v>7</v>
      </c>
      <c r="J27" s="2" t="s">
        <v>8</v>
      </c>
      <c r="K27" s="6" t="s">
        <v>9</v>
      </c>
      <c r="L27" s="39">
        <v>100</v>
      </c>
      <c r="M27" s="2" t="s">
        <v>8</v>
      </c>
      <c r="N27" s="1">
        <f>D8</f>
        <v>4</v>
      </c>
      <c r="O27" s="2" t="s">
        <v>10</v>
      </c>
      <c r="P27" s="5"/>
      <c r="Q27" s="6"/>
      <c r="R27" s="31" t="s">
        <v>9</v>
      </c>
      <c r="S27" s="56">
        <f>H27*L27*N27*(-1)</f>
        <v>12000</v>
      </c>
      <c r="T27" s="41"/>
    </row>
    <row r="28" spans="2:20" ht="16.5" thickBot="1" x14ac:dyDescent="0.3">
      <c r="B28" s="15"/>
      <c r="C28" s="2" t="s">
        <v>27</v>
      </c>
      <c r="D28" s="4">
        <f>I6</f>
        <v>1300</v>
      </c>
      <c r="E28" s="12" t="s">
        <v>5</v>
      </c>
      <c r="F28" s="4">
        <f>I4</f>
        <v>1320</v>
      </c>
      <c r="G28" s="5" t="s">
        <v>6</v>
      </c>
      <c r="H28" s="2">
        <f>IF(D6="",0,D28-F28)</f>
        <v>-20</v>
      </c>
      <c r="I28" s="2" t="s">
        <v>7</v>
      </c>
      <c r="J28" s="2" t="s">
        <v>8</v>
      </c>
      <c r="K28" s="6" t="s">
        <v>9</v>
      </c>
      <c r="L28" s="39">
        <v>100</v>
      </c>
      <c r="M28" s="2" t="s">
        <v>8</v>
      </c>
      <c r="N28" s="1">
        <f>D6</f>
        <v>4</v>
      </c>
      <c r="O28" s="2" t="s">
        <v>10</v>
      </c>
      <c r="P28" s="5"/>
      <c r="Q28" s="6"/>
      <c r="R28" s="31" t="s">
        <v>9</v>
      </c>
      <c r="S28" s="56">
        <f>H28*L28*N28*(-1)</f>
        <v>8000</v>
      </c>
      <c r="T28" s="41"/>
    </row>
    <row r="29" spans="2:20" ht="16.5" thickBot="1" x14ac:dyDescent="0.3">
      <c r="B29" s="15"/>
      <c r="C29" s="14" t="s">
        <v>11</v>
      </c>
      <c r="D29" s="2"/>
      <c r="E29" s="2"/>
      <c r="F29" s="2"/>
      <c r="G29" s="2"/>
      <c r="H29" s="2"/>
      <c r="I29" s="2"/>
      <c r="J29" s="2"/>
      <c r="K29" s="2"/>
      <c r="L29" s="39"/>
      <c r="M29" s="2"/>
      <c r="N29" s="2"/>
      <c r="O29" s="2"/>
      <c r="P29" s="5"/>
      <c r="Q29" s="55"/>
      <c r="R29" s="54" t="s">
        <v>9</v>
      </c>
      <c r="S29" s="57">
        <f>S24+S25+S26+S27+S28</f>
        <v>44000</v>
      </c>
    </row>
    <row r="30" spans="2:20" ht="15" x14ac:dyDescent="0.2">
      <c r="B30" s="15"/>
      <c r="C30" s="2"/>
      <c r="D30" s="2"/>
      <c r="E30" s="2"/>
      <c r="F30" s="2"/>
      <c r="G30" s="2"/>
      <c r="H30" s="2"/>
      <c r="I30" s="2"/>
      <c r="J30" s="2"/>
      <c r="K30" s="2"/>
      <c r="L30" s="39"/>
      <c r="M30" s="2"/>
      <c r="N30" s="2"/>
      <c r="O30" s="2"/>
      <c r="P30" s="5"/>
      <c r="Q30" s="6"/>
      <c r="R30" s="33"/>
      <c r="S30" s="21"/>
    </row>
    <row r="31" spans="2:20" ht="15" x14ac:dyDescent="0.2">
      <c r="B31" s="15" t="s">
        <v>16</v>
      </c>
      <c r="C31" s="14" t="s">
        <v>14</v>
      </c>
      <c r="D31" s="2"/>
      <c r="E31" s="2"/>
      <c r="F31" s="2"/>
      <c r="G31" s="2"/>
      <c r="H31" s="2"/>
      <c r="I31" s="2"/>
      <c r="J31" s="2"/>
      <c r="K31" s="2"/>
      <c r="L31" s="39"/>
      <c r="M31" s="2"/>
      <c r="N31" s="2"/>
      <c r="O31" s="2"/>
      <c r="P31" s="5"/>
      <c r="Q31" s="6"/>
      <c r="R31" s="33"/>
      <c r="S31" s="21"/>
    </row>
    <row r="32" spans="2:20" ht="15.75" x14ac:dyDescent="0.25">
      <c r="B32" s="15"/>
      <c r="C32" s="2" t="s">
        <v>2</v>
      </c>
      <c r="D32" s="1">
        <f>I14</f>
        <v>1260</v>
      </c>
      <c r="E32" s="65" t="s">
        <v>5</v>
      </c>
      <c r="F32" s="1">
        <f>I17</f>
        <v>1218</v>
      </c>
      <c r="G32" s="5" t="s">
        <v>6</v>
      </c>
      <c r="H32" s="1">
        <f>IF(D14="",0,D32-F32)</f>
        <v>42</v>
      </c>
      <c r="I32" s="1" t="s">
        <v>7</v>
      </c>
      <c r="J32" s="11" t="s">
        <v>8</v>
      </c>
      <c r="K32" s="27" t="s">
        <v>9</v>
      </c>
      <c r="L32" s="39">
        <v>100</v>
      </c>
      <c r="M32" s="11" t="s">
        <v>8</v>
      </c>
      <c r="N32" s="1">
        <f>D14</f>
        <v>1</v>
      </c>
      <c r="O32" s="11" t="s">
        <v>10</v>
      </c>
      <c r="P32" s="5"/>
      <c r="Q32" s="2"/>
      <c r="R32" s="31" t="s">
        <v>9</v>
      </c>
      <c r="S32" s="40">
        <f>H32*L32*N32</f>
        <v>4200</v>
      </c>
    </row>
    <row r="33" spans="2:19" ht="15.75" x14ac:dyDescent="0.25">
      <c r="B33" s="15"/>
      <c r="C33" s="2" t="s">
        <v>3</v>
      </c>
      <c r="D33" s="1">
        <f>I12</f>
        <v>1270</v>
      </c>
      <c r="E33" s="65" t="s">
        <v>5</v>
      </c>
      <c r="F33" s="1">
        <f>I17</f>
        <v>1218</v>
      </c>
      <c r="G33" s="5" t="s">
        <v>6</v>
      </c>
      <c r="H33" s="1">
        <f>IF(D12="",0,D33-F33)</f>
        <v>52</v>
      </c>
      <c r="I33" s="1" t="s">
        <v>7</v>
      </c>
      <c r="J33" s="11" t="s">
        <v>8</v>
      </c>
      <c r="K33" s="27" t="s">
        <v>9</v>
      </c>
      <c r="L33" s="39">
        <v>100</v>
      </c>
      <c r="M33" s="11" t="s">
        <v>8</v>
      </c>
      <c r="N33" s="1">
        <f>D12</f>
        <v>2</v>
      </c>
      <c r="O33" s="11" t="s">
        <v>10</v>
      </c>
      <c r="P33" s="5"/>
      <c r="Q33" s="2"/>
      <c r="R33" s="31" t="s">
        <v>9</v>
      </c>
      <c r="S33" s="20">
        <f>H33*L33*N33</f>
        <v>10400</v>
      </c>
    </row>
    <row r="34" spans="2:19" ht="15.75" x14ac:dyDescent="0.25">
      <c r="B34" s="15"/>
      <c r="C34" s="2" t="s">
        <v>4</v>
      </c>
      <c r="D34" s="1">
        <f>I10</f>
        <v>1280</v>
      </c>
      <c r="E34" s="65" t="s">
        <v>5</v>
      </c>
      <c r="F34" s="1">
        <f>I17</f>
        <v>1218</v>
      </c>
      <c r="G34" s="5" t="s">
        <v>6</v>
      </c>
      <c r="H34" s="1">
        <f>IF(D10="",0,D34-F34)</f>
        <v>62</v>
      </c>
      <c r="I34" s="1" t="s">
        <v>7</v>
      </c>
      <c r="J34" s="11" t="s">
        <v>8</v>
      </c>
      <c r="K34" s="27" t="s">
        <v>9</v>
      </c>
      <c r="L34" s="39">
        <v>100</v>
      </c>
      <c r="M34" s="11" t="s">
        <v>8</v>
      </c>
      <c r="N34" s="1">
        <f>D10</f>
        <v>2</v>
      </c>
      <c r="O34" s="11" t="s">
        <v>10</v>
      </c>
      <c r="P34" s="5"/>
      <c r="Q34" s="2"/>
      <c r="R34" s="31" t="s">
        <v>9</v>
      </c>
      <c r="S34" s="20">
        <f>H34*L34*N34</f>
        <v>12400</v>
      </c>
    </row>
    <row r="35" spans="2:19" ht="15.75" x14ac:dyDescent="0.25">
      <c r="B35" s="15"/>
      <c r="C35" s="2" t="s">
        <v>26</v>
      </c>
      <c r="D35" s="1">
        <f>I8</f>
        <v>1290</v>
      </c>
      <c r="E35" s="65" t="s">
        <v>5</v>
      </c>
      <c r="F35" s="1">
        <f>I17</f>
        <v>1218</v>
      </c>
      <c r="G35" s="5" t="s">
        <v>6</v>
      </c>
      <c r="H35" s="1">
        <f>IF(D8="",0,D35-F35)</f>
        <v>72</v>
      </c>
      <c r="I35" s="1" t="s">
        <v>7</v>
      </c>
      <c r="J35" s="11" t="s">
        <v>8</v>
      </c>
      <c r="K35" s="27" t="s">
        <v>9</v>
      </c>
      <c r="L35" s="39">
        <v>100</v>
      </c>
      <c r="M35" s="11" t="s">
        <v>8</v>
      </c>
      <c r="N35" s="1">
        <f>D8</f>
        <v>4</v>
      </c>
      <c r="O35" s="11" t="s">
        <v>10</v>
      </c>
      <c r="P35" s="5"/>
      <c r="Q35" s="2"/>
      <c r="R35" s="31" t="s">
        <v>9</v>
      </c>
      <c r="S35" s="20">
        <f>H35*L35*N35</f>
        <v>28800</v>
      </c>
    </row>
    <row r="36" spans="2:19" ht="16.5" thickBot="1" x14ac:dyDescent="0.3">
      <c r="B36" s="15"/>
      <c r="C36" s="2" t="s">
        <v>27</v>
      </c>
      <c r="D36" s="1">
        <f>I6</f>
        <v>1300</v>
      </c>
      <c r="E36" s="65" t="s">
        <v>5</v>
      </c>
      <c r="F36" s="1">
        <f>I17</f>
        <v>1218</v>
      </c>
      <c r="G36" s="5" t="s">
        <v>6</v>
      </c>
      <c r="H36" s="1">
        <f>IF(D6="",0,D36-F36)</f>
        <v>82</v>
      </c>
      <c r="I36" s="1" t="s">
        <v>7</v>
      </c>
      <c r="J36" s="11" t="s">
        <v>8</v>
      </c>
      <c r="K36" s="27" t="s">
        <v>9</v>
      </c>
      <c r="L36" s="39">
        <v>100</v>
      </c>
      <c r="M36" s="11" t="s">
        <v>8</v>
      </c>
      <c r="N36" s="1">
        <f>D6</f>
        <v>4</v>
      </c>
      <c r="O36" s="11" t="s">
        <v>10</v>
      </c>
      <c r="P36" s="5"/>
      <c r="Q36" s="2"/>
      <c r="R36" s="31" t="s">
        <v>9</v>
      </c>
      <c r="S36" s="20">
        <f>H36*L36*N36</f>
        <v>32800</v>
      </c>
    </row>
    <row r="37" spans="2:19" ht="16.5" thickBot="1" x14ac:dyDescent="0.3">
      <c r="B37" s="15"/>
      <c r="C37" s="14" t="s">
        <v>12</v>
      </c>
      <c r="D37" s="1"/>
      <c r="E37" s="2"/>
      <c r="F37" s="1"/>
      <c r="G37" s="5"/>
      <c r="H37" s="1"/>
      <c r="I37" s="1"/>
      <c r="J37" s="11"/>
      <c r="K37" s="11"/>
      <c r="L37" s="2"/>
      <c r="M37" s="11"/>
      <c r="N37" s="2"/>
      <c r="O37" s="11"/>
      <c r="P37" s="5"/>
      <c r="Q37" s="2"/>
      <c r="R37" s="32" t="s">
        <v>9</v>
      </c>
      <c r="S37" s="19">
        <f>S32+S33+S34+S35+S36</f>
        <v>88600</v>
      </c>
    </row>
    <row r="38" spans="2:19" ht="15.75" x14ac:dyDescent="0.25">
      <c r="B38" s="15"/>
      <c r="C38" s="2"/>
      <c r="D38" s="1"/>
      <c r="E38" s="2"/>
      <c r="F38" s="1"/>
      <c r="G38" s="5"/>
      <c r="H38" s="1"/>
      <c r="I38" s="1"/>
      <c r="J38" s="11"/>
      <c r="K38" s="11"/>
      <c r="L38" s="2"/>
      <c r="M38" s="11"/>
      <c r="N38" s="2"/>
      <c r="O38" s="11"/>
      <c r="P38" s="5"/>
      <c r="Q38" s="2"/>
      <c r="R38" s="31"/>
      <c r="S38" s="20"/>
    </row>
    <row r="39" spans="2:19" ht="15.75" x14ac:dyDescent="0.25">
      <c r="B39" s="15" t="s">
        <v>17</v>
      </c>
      <c r="C39" s="16" t="s">
        <v>18</v>
      </c>
      <c r="D39" s="1"/>
      <c r="E39" s="2"/>
      <c r="F39" s="1"/>
      <c r="G39" s="5"/>
      <c r="H39" s="1"/>
      <c r="I39" s="1"/>
      <c r="J39" s="11"/>
      <c r="K39" s="11"/>
      <c r="L39" s="2"/>
      <c r="M39" s="11"/>
      <c r="N39" s="2"/>
      <c r="O39" s="11"/>
      <c r="P39" s="5"/>
      <c r="Q39" s="2"/>
      <c r="R39" s="31"/>
      <c r="S39" s="20"/>
    </row>
    <row r="40" spans="2:19" ht="15.75" x14ac:dyDescent="0.25">
      <c r="B40" s="15"/>
      <c r="C40" s="2" t="s">
        <v>31</v>
      </c>
      <c r="D40" s="2"/>
      <c r="E40" s="2"/>
      <c r="F40" s="2"/>
      <c r="G40" s="73"/>
      <c r="H40" s="73">
        <v>2000</v>
      </c>
      <c r="I40" s="28"/>
      <c r="J40" s="2"/>
      <c r="K40" s="2"/>
      <c r="L40" s="2"/>
      <c r="M40" s="2"/>
      <c r="N40" s="2"/>
      <c r="O40" s="2"/>
      <c r="P40" s="2"/>
      <c r="Q40" s="2"/>
      <c r="R40" s="31"/>
      <c r="S40" s="22"/>
    </row>
    <row r="41" spans="2:19" ht="15.75" x14ac:dyDescent="0.25">
      <c r="B41" s="15"/>
      <c r="C41" s="2" t="str">
        <f>"Total Lot yang diperdagangkan  :  "&amp;D18&amp;" Lot"</f>
        <v>Total Lot yang diperdagangkan  :  13 Lot</v>
      </c>
      <c r="D41" s="2"/>
      <c r="E41" s="2"/>
      <c r="F41" s="2"/>
      <c r="G41" s="2"/>
      <c r="H41" s="29"/>
      <c r="I41" s="8"/>
      <c r="J41" s="2"/>
      <c r="K41" s="2"/>
      <c r="L41" s="2"/>
      <c r="M41" s="2"/>
      <c r="N41" s="2"/>
      <c r="O41" s="2"/>
      <c r="P41" s="2"/>
      <c r="Q41" s="2"/>
      <c r="R41" s="31"/>
      <c r="S41" s="22"/>
    </row>
    <row r="42" spans="2:19" ht="15.75" x14ac:dyDescent="0.25">
      <c r="B42" s="15"/>
      <c r="C42" s="2" t="str">
        <f>"Maka jaminan yang dibutuhkan  :  $. 2.000 * "&amp;D18&amp;" Lot"</f>
        <v>Maka jaminan yang dibutuhkan  :  $. 2.000 * 13 Lot</v>
      </c>
      <c r="D42" s="2"/>
      <c r="E42" s="2"/>
      <c r="F42" s="2"/>
      <c r="G42" s="2"/>
      <c r="H42" s="2"/>
      <c r="I42" s="1"/>
      <c r="J42" s="2"/>
      <c r="K42" s="1"/>
      <c r="L42" s="1"/>
      <c r="M42" s="2"/>
      <c r="N42" s="2"/>
      <c r="O42" s="2"/>
      <c r="P42" s="5"/>
      <c r="Q42" s="5"/>
      <c r="R42" s="37" t="s">
        <v>9</v>
      </c>
      <c r="S42" s="20">
        <f>D18*H40</f>
        <v>26000</v>
      </c>
    </row>
    <row r="43" spans="2:19" ht="15.75" x14ac:dyDescent="0.25">
      <c r="B43" s="1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1"/>
      <c r="S43" s="22"/>
    </row>
    <row r="44" spans="2:19" ht="15.75" x14ac:dyDescent="0.25">
      <c r="B44" s="15"/>
      <c r="C44" s="16" t="s">
        <v>1</v>
      </c>
      <c r="D44" s="2"/>
      <c r="E44" s="2"/>
      <c r="F44" s="2"/>
      <c r="G44" s="2"/>
      <c r="H44" s="6"/>
      <c r="I44" s="2"/>
      <c r="J44" s="2"/>
      <c r="K44" s="9"/>
      <c r="L44" s="9"/>
      <c r="M44" s="2"/>
      <c r="N44" s="6"/>
      <c r="O44" s="7"/>
      <c r="P44" s="5"/>
      <c r="Q44" s="2"/>
      <c r="R44" s="31" t="s">
        <v>9</v>
      </c>
      <c r="S44" s="23">
        <f>S29</f>
        <v>44000</v>
      </c>
    </row>
    <row r="45" spans="2:19" ht="16.5" thickBot="1" x14ac:dyDescent="0.3">
      <c r="B45" s="47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9"/>
      <c r="O45" s="50"/>
      <c r="P45" s="51"/>
      <c r="Q45" s="51"/>
      <c r="R45" s="52"/>
      <c r="S45" s="53"/>
    </row>
    <row r="46" spans="2:19" ht="16.5" thickBot="1" x14ac:dyDescent="0.25">
      <c r="B46" s="10"/>
      <c r="C46" s="17" t="s">
        <v>13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38" t="s">
        <v>9</v>
      </c>
      <c r="S46" s="26">
        <f>S42+S44</f>
        <v>70000</v>
      </c>
    </row>
    <row r="47" spans="2:19" x14ac:dyDescent="0.2">
      <c r="B47" s="240"/>
      <c r="C47" s="240"/>
      <c r="S47" s="69"/>
    </row>
    <row r="48" spans="2:19" x14ac:dyDescent="0.2">
      <c r="B48" s="71"/>
      <c r="C48" s="71"/>
    </row>
  </sheetData>
  <mergeCells count="27">
    <mergeCell ref="D6:E7"/>
    <mergeCell ref="I6:K7"/>
    <mergeCell ref="N6:R7"/>
    <mergeCell ref="AC6:AC7"/>
    <mergeCell ref="B1:S1"/>
    <mergeCell ref="B3:G3"/>
    <mergeCell ref="K3:L3"/>
    <mergeCell ref="I4:K4"/>
    <mergeCell ref="D8:E9"/>
    <mergeCell ref="I8:K9"/>
    <mergeCell ref="N8:R9"/>
    <mergeCell ref="D10:E11"/>
    <mergeCell ref="I10:K11"/>
    <mergeCell ref="N10:R11"/>
    <mergeCell ref="D12:E13"/>
    <mergeCell ref="I12:K13"/>
    <mergeCell ref="N12:R13"/>
    <mergeCell ref="D14:E15"/>
    <mergeCell ref="I14:K15"/>
    <mergeCell ref="N14:R15"/>
    <mergeCell ref="B21:Q21"/>
    <mergeCell ref="R21:S21"/>
    <mergeCell ref="B47:C47"/>
    <mergeCell ref="I17:K17"/>
    <mergeCell ref="N17:R17"/>
    <mergeCell ref="D18:E18"/>
    <mergeCell ref="B19:G19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AH84"/>
  <sheetViews>
    <sheetView zoomScale="75" workbookViewId="0">
      <selection activeCell="I6" sqref="I6"/>
    </sheetView>
  </sheetViews>
  <sheetFormatPr defaultRowHeight="12.75" x14ac:dyDescent="0.2"/>
  <cols>
    <col min="1" max="1" width="2.42578125" customWidth="1"/>
    <col min="2" max="2" width="3.140625" customWidth="1"/>
    <col min="3" max="3" width="7.85546875" customWidth="1"/>
    <col min="4" max="4" width="9" customWidth="1"/>
    <col min="5" max="5" width="3" customWidth="1"/>
    <col min="6" max="6" width="8.28515625" bestFit="1" customWidth="1"/>
    <col min="7" max="7" width="2" customWidth="1"/>
    <col min="8" max="8" width="8" customWidth="1"/>
    <col min="9" max="9" width="4.140625" customWidth="1"/>
    <col min="10" max="10" width="1.7109375" customWidth="1"/>
    <col min="11" max="11" width="2.5703125" customWidth="1"/>
    <col min="12" max="12" width="5.85546875" bestFit="1" customWidth="1"/>
    <col min="13" max="13" width="1.5703125" customWidth="1"/>
    <col min="14" max="14" width="4.42578125" customWidth="1"/>
    <col min="15" max="15" width="1.42578125" customWidth="1"/>
    <col min="16" max="16" width="3" customWidth="1"/>
    <col min="17" max="17" width="1.5703125" customWidth="1"/>
    <col min="18" max="18" width="3.42578125" style="34" customWidth="1"/>
    <col min="19" max="19" width="14.85546875" customWidth="1"/>
    <col min="20" max="20" width="3.42578125" customWidth="1"/>
    <col min="21" max="22" width="0" hidden="1" customWidth="1"/>
    <col min="27" max="27" width="10.42578125" customWidth="1"/>
  </cols>
  <sheetData>
    <row r="2" spans="1:22" ht="27.75" customHeight="1" thickBot="1" x14ac:dyDescent="0.25">
      <c r="A2" s="80" t="s">
        <v>38</v>
      </c>
      <c r="B2" s="221" t="s">
        <v>61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80"/>
    </row>
    <row r="3" spans="1:22" ht="13.5" thickTop="1" x14ac:dyDescent="0.2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1"/>
      <c r="S3" s="80"/>
      <c r="T3" s="80"/>
    </row>
    <row r="4" spans="1:22" x14ac:dyDescent="0.2">
      <c r="A4" s="80"/>
      <c r="B4" s="222" t="s">
        <v>19</v>
      </c>
      <c r="C4" s="222"/>
      <c r="D4" s="222"/>
      <c r="E4" s="222"/>
      <c r="F4" s="222"/>
      <c r="G4" s="222"/>
      <c r="H4" s="80"/>
      <c r="I4" s="80"/>
      <c r="J4" s="80"/>
      <c r="K4" s="222"/>
      <c r="L4" s="222"/>
      <c r="M4" s="80"/>
      <c r="N4" s="80"/>
      <c r="O4" s="80"/>
      <c r="P4" s="80"/>
      <c r="Q4" s="80"/>
      <c r="R4" s="81"/>
      <c r="S4" s="80"/>
      <c r="T4" s="80"/>
    </row>
    <row r="5" spans="1:22" x14ac:dyDescent="0.2">
      <c r="A5" s="80"/>
      <c r="B5" s="80"/>
      <c r="C5" s="80"/>
      <c r="D5" s="82"/>
      <c r="E5" s="80"/>
      <c r="F5" s="80"/>
      <c r="G5" s="80"/>
      <c r="H5" s="80"/>
      <c r="I5" s="249">
        <v>110</v>
      </c>
      <c r="J5" s="249"/>
      <c r="K5" s="249"/>
      <c r="L5" s="83"/>
      <c r="M5" s="84"/>
      <c r="N5" s="84" t="s">
        <v>0</v>
      </c>
      <c r="O5" s="80"/>
      <c r="P5" s="80"/>
      <c r="Q5" s="80"/>
      <c r="R5" s="85"/>
      <c r="S5" s="80"/>
      <c r="T5" s="80"/>
    </row>
    <row r="6" spans="1:22" x14ac:dyDescent="0.2">
      <c r="A6" s="80"/>
      <c r="B6" s="80"/>
      <c r="C6" s="80"/>
      <c r="D6" s="86"/>
      <c r="E6" s="80"/>
      <c r="F6" s="80"/>
      <c r="G6" s="80"/>
      <c r="H6" s="80"/>
      <c r="I6" s="84"/>
      <c r="J6" s="84"/>
      <c r="K6" s="84"/>
      <c r="L6" s="87"/>
      <c r="M6" s="84"/>
      <c r="N6" s="84"/>
      <c r="O6" s="84"/>
      <c r="P6" s="84"/>
      <c r="Q6" s="84"/>
      <c r="R6" s="85"/>
      <c r="S6" s="80"/>
      <c r="T6" s="80"/>
    </row>
    <row r="7" spans="1:22" x14ac:dyDescent="0.2">
      <c r="A7" s="80"/>
      <c r="B7" s="80"/>
      <c r="C7" s="80"/>
      <c r="D7" s="216">
        <v>3</v>
      </c>
      <c r="E7" s="216"/>
      <c r="F7" s="80"/>
      <c r="G7" s="80"/>
      <c r="H7" s="80"/>
      <c r="I7" s="248">
        <v>107</v>
      </c>
      <c r="J7" s="248"/>
      <c r="K7" s="248"/>
      <c r="L7" s="87"/>
      <c r="M7" s="84"/>
      <c r="N7" s="213" t="str">
        <f>"Buy "&amp;D7&amp;" Lot"</f>
        <v>Buy 3 Lot</v>
      </c>
      <c r="O7" s="213"/>
      <c r="P7" s="213"/>
      <c r="Q7" s="213"/>
      <c r="R7" s="213"/>
      <c r="S7" s="80"/>
      <c r="T7" s="80"/>
      <c r="U7" t="s">
        <v>22</v>
      </c>
      <c r="V7">
        <v>10349</v>
      </c>
    </row>
    <row r="8" spans="1:22" x14ac:dyDescent="0.2">
      <c r="A8" s="80"/>
      <c r="B8" s="80"/>
      <c r="C8" s="80"/>
      <c r="D8" s="216"/>
      <c r="E8" s="216"/>
      <c r="F8" s="80"/>
      <c r="G8" s="80"/>
      <c r="H8" s="80"/>
      <c r="I8" s="248"/>
      <c r="J8" s="248"/>
      <c r="K8" s="248"/>
      <c r="L8" s="83"/>
      <c r="M8" s="84"/>
      <c r="N8" s="213"/>
      <c r="O8" s="213"/>
      <c r="P8" s="213"/>
      <c r="Q8" s="213"/>
      <c r="R8" s="213"/>
      <c r="S8" s="80"/>
      <c r="T8" s="80"/>
      <c r="U8" t="s">
        <v>23</v>
      </c>
      <c r="V8" s="43">
        <f>V7-S28</f>
        <v>-23651</v>
      </c>
    </row>
    <row r="9" spans="1:22" x14ac:dyDescent="0.2">
      <c r="A9" s="80"/>
      <c r="B9" s="80"/>
      <c r="C9" s="80"/>
      <c r="D9" s="216">
        <v>4</v>
      </c>
      <c r="E9" s="216"/>
      <c r="F9" s="80"/>
      <c r="G9" s="80"/>
      <c r="H9" s="80"/>
      <c r="I9" s="248">
        <v>106.8</v>
      </c>
      <c r="J9" s="248"/>
      <c r="K9" s="248"/>
      <c r="L9" s="87"/>
      <c r="M9" s="84"/>
      <c r="N9" s="213" t="str">
        <f>"Buy "&amp;D9&amp;" Lot"</f>
        <v>Buy 4 Lot</v>
      </c>
      <c r="O9" s="213"/>
      <c r="P9" s="213"/>
      <c r="Q9" s="213"/>
      <c r="R9" s="213"/>
      <c r="S9" s="80"/>
      <c r="T9" s="88"/>
      <c r="U9" t="s">
        <v>24</v>
      </c>
      <c r="V9">
        <f>D15*1000</f>
        <v>0</v>
      </c>
    </row>
    <row r="10" spans="1:22" x14ac:dyDescent="0.2">
      <c r="A10" s="80"/>
      <c r="B10" s="80"/>
      <c r="C10" s="80"/>
      <c r="D10" s="216"/>
      <c r="E10" s="216"/>
      <c r="F10" s="80"/>
      <c r="G10" s="80"/>
      <c r="H10" s="80"/>
      <c r="I10" s="248"/>
      <c r="J10" s="248"/>
      <c r="K10" s="248"/>
      <c r="L10" s="83"/>
      <c r="M10" s="84"/>
      <c r="N10" s="213"/>
      <c r="O10" s="213"/>
      <c r="P10" s="213"/>
      <c r="Q10" s="213"/>
      <c r="R10" s="213"/>
      <c r="S10" s="89"/>
      <c r="T10" s="80"/>
      <c r="U10" t="s">
        <v>25</v>
      </c>
      <c r="V10" s="43">
        <f>V8-V9</f>
        <v>-23651</v>
      </c>
    </row>
    <row r="11" spans="1:22" x14ac:dyDescent="0.2">
      <c r="A11" s="80"/>
      <c r="B11" s="80"/>
      <c r="C11" s="80"/>
      <c r="D11" s="220">
        <v>6</v>
      </c>
      <c r="E11" s="220"/>
      <c r="F11" s="80"/>
      <c r="G11" s="80"/>
      <c r="H11" s="80"/>
      <c r="I11" s="248">
        <v>106.6</v>
      </c>
      <c r="J11" s="248"/>
      <c r="K11" s="248"/>
      <c r="L11" s="87"/>
      <c r="M11" s="84"/>
      <c r="N11" s="213" t="str">
        <f>"Buy "&amp;D11&amp;" Lot"</f>
        <v>Buy 6 Lot</v>
      </c>
      <c r="O11" s="213"/>
      <c r="P11" s="213"/>
      <c r="Q11" s="213"/>
      <c r="R11" s="213"/>
      <c r="S11" s="80"/>
      <c r="T11" s="80"/>
    </row>
    <row r="12" spans="1:22" x14ac:dyDescent="0.2">
      <c r="A12" s="80"/>
      <c r="B12" s="80"/>
      <c r="C12" s="80"/>
      <c r="D12" s="220"/>
      <c r="E12" s="220"/>
      <c r="F12" s="80"/>
      <c r="G12" s="80"/>
      <c r="H12" s="80"/>
      <c r="I12" s="248"/>
      <c r="J12" s="248"/>
      <c r="K12" s="248"/>
      <c r="L12" s="83"/>
      <c r="M12" s="84"/>
      <c r="N12" s="213"/>
      <c r="O12" s="213"/>
      <c r="P12" s="213"/>
      <c r="Q12" s="213"/>
      <c r="R12" s="213"/>
      <c r="S12" s="80"/>
      <c r="T12" s="80"/>
    </row>
    <row r="13" spans="1:22" x14ac:dyDescent="0.2">
      <c r="A13" s="80"/>
      <c r="B13" s="80"/>
      <c r="C13" s="80"/>
      <c r="D13" s="220">
        <v>8</v>
      </c>
      <c r="E13" s="220"/>
      <c r="F13" s="80"/>
      <c r="G13" s="80"/>
      <c r="H13" s="80"/>
      <c r="I13" s="248">
        <v>106.4</v>
      </c>
      <c r="J13" s="248"/>
      <c r="K13" s="248"/>
      <c r="L13" s="87"/>
      <c r="M13" s="84"/>
      <c r="N13" s="213" t="str">
        <f>"Buy "&amp;D13&amp;" Lot"</f>
        <v>Buy 8 Lot</v>
      </c>
      <c r="O13" s="213"/>
      <c r="P13" s="213"/>
      <c r="Q13" s="213"/>
      <c r="R13" s="213"/>
      <c r="S13" s="80"/>
      <c r="T13" s="80"/>
    </row>
    <row r="14" spans="1:22" x14ac:dyDescent="0.2">
      <c r="A14" s="80"/>
      <c r="B14" s="80"/>
      <c r="C14" s="80"/>
      <c r="D14" s="220"/>
      <c r="E14" s="220"/>
      <c r="F14" s="80"/>
      <c r="G14" s="80"/>
      <c r="H14" s="80"/>
      <c r="I14" s="248"/>
      <c r="J14" s="248"/>
      <c r="K14" s="248"/>
      <c r="L14" s="83"/>
      <c r="M14" s="84"/>
      <c r="N14" s="213"/>
      <c r="O14" s="213"/>
      <c r="P14" s="213"/>
      <c r="Q14" s="213"/>
      <c r="R14" s="213"/>
      <c r="S14" s="80"/>
      <c r="T14" s="80"/>
    </row>
    <row r="15" spans="1:22" x14ac:dyDescent="0.2">
      <c r="A15" s="80"/>
      <c r="B15" s="80"/>
      <c r="C15" s="80"/>
      <c r="D15" s="212">
        <v>0</v>
      </c>
      <c r="E15" s="212"/>
      <c r="F15" s="80"/>
      <c r="G15" s="80"/>
      <c r="H15" s="80"/>
      <c r="I15" s="248">
        <v>0</v>
      </c>
      <c r="J15" s="248"/>
      <c r="K15" s="248"/>
      <c r="L15" s="87"/>
      <c r="M15" s="80"/>
      <c r="N15" s="213" t="str">
        <f>"Buy "&amp;D15&amp;" Lot"</f>
        <v>Buy 0 Lot</v>
      </c>
      <c r="O15" s="213"/>
      <c r="P15" s="213"/>
      <c r="Q15" s="213"/>
      <c r="R15" s="213"/>
      <c r="S15" s="80"/>
      <c r="T15" s="80"/>
    </row>
    <row r="16" spans="1:22" x14ac:dyDescent="0.2">
      <c r="A16" s="80"/>
      <c r="B16" s="80"/>
      <c r="C16" s="80"/>
      <c r="D16" s="212"/>
      <c r="E16" s="212"/>
      <c r="F16" s="80"/>
      <c r="G16" s="80"/>
      <c r="H16" s="80"/>
      <c r="I16" s="248"/>
      <c r="J16" s="248"/>
      <c r="K16" s="248"/>
      <c r="L16" s="80"/>
      <c r="M16" s="80"/>
      <c r="N16" s="213"/>
      <c r="O16" s="213"/>
      <c r="P16" s="213"/>
      <c r="Q16" s="213"/>
      <c r="R16" s="213"/>
      <c r="S16" s="80"/>
      <c r="T16" s="80"/>
    </row>
    <row r="17" spans="1:34" x14ac:dyDescent="0.2">
      <c r="A17" s="80"/>
      <c r="B17" s="80"/>
      <c r="C17" s="80"/>
      <c r="D17" s="214">
        <f>SUM(D7:D16)</f>
        <v>21</v>
      </c>
      <c r="E17" s="214"/>
      <c r="F17" s="80"/>
      <c r="G17" s="80"/>
      <c r="H17" s="80"/>
      <c r="I17" s="247">
        <v>105</v>
      </c>
      <c r="J17" s="247"/>
      <c r="K17" s="247"/>
      <c r="L17" s="80"/>
      <c r="M17" s="80"/>
      <c r="N17" s="213" t="s">
        <v>58</v>
      </c>
      <c r="O17" s="213"/>
      <c r="P17" s="213"/>
      <c r="Q17" s="213"/>
      <c r="R17" s="213"/>
      <c r="S17" s="90"/>
      <c r="T17" s="80"/>
    </row>
    <row r="18" spans="1:34" ht="15.75" x14ac:dyDescent="0.25">
      <c r="A18" s="80"/>
      <c r="B18" s="80"/>
      <c r="C18" s="217" t="s">
        <v>59</v>
      </c>
      <c r="D18" s="218"/>
      <c r="E18" s="218"/>
      <c r="F18" s="219"/>
      <c r="G18" s="80"/>
      <c r="H18" s="80"/>
      <c r="I18" s="247"/>
      <c r="J18" s="247"/>
      <c r="K18" s="247"/>
      <c r="L18" s="80"/>
      <c r="M18" s="80"/>
      <c r="N18" s="213"/>
      <c r="O18" s="213"/>
      <c r="P18" s="213"/>
      <c r="Q18" s="213"/>
      <c r="R18" s="213"/>
      <c r="S18" s="80"/>
      <c r="T18" s="80"/>
    </row>
    <row r="19" spans="1:34" ht="16.5" thickBot="1" x14ac:dyDescent="0.3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1"/>
      <c r="S19" s="80"/>
      <c r="T19" s="80"/>
      <c r="AA19" s="139" t="s">
        <v>41</v>
      </c>
    </row>
    <row r="20" spans="1:34" ht="18.75" thickBot="1" x14ac:dyDescent="0.25">
      <c r="A20" s="80"/>
      <c r="B20" s="206" t="s">
        <v>20</v>
      </c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8" t="s">
        <v>21</v>
      </c>
      <c r="S20" s="209"/>
      <c r="T20" s="91">
        <v>10</v>
      </c>
    </row>
    <row r="21" spans="1:34" x14ac:dyDescent="0.2">
      <c r="A21" s="80"/>
      <c r="B21" s="92"/>
      <c r="C21" s="93"/>
      <c r="D21" s="93"/>
      <c r="E21" s="93"/>
      <c r="F21" s="93"/>
      <c r="G21" s="93"/>
      <c r="H21" s="93"/>
      <c r="I21" s="93"/>
      <c r="J21" s="93"/>
      <c r="K21" s="93"/>
      <c r="L21" s="94"/>
      <c r="M21" s="93"/>
      <c r="N21" s="93"/>
      <c r="O21" s="93"/>
      <c r="P21" s="93"/>
      <c r="Q21" s="93"/>
      <c r="R21" s="95"/>
      <c r="S21" s="96"/>
      <c r="T21" s="80"/>
    </row>
    <row r="22" spans="1:34" ht="12.75" customHeight="1" x14ac:dyDescent="0.2">
      <c r="A22" s="80"/>
      <c r="B22" s="97" t="s">
        <v>15</v>
      </c>
      <c r="C22" s="87" t="s">
        <v>1</v>
      </c>
      <c r="D22" s="86"/>
      <c r="E22" s="98"/>
      <c r="F22" s="86"/>
      <c r="G22" s="86"/>
      <c r="H22" s="86"/>
      <c r="I22" s="86"/>
      <c r="J22" s="86"/>
      <c r="K22" s="86"/>
      <c r="L22" s="99"/>
      <c r="M22" s="86"/>
      <c r="N22" s="86"/>
      <c r="O22" s="86"/>
      <c r="P22" s="86"/>
      <c r="Q22" s="86"/>
      <c r="R22" s="100"/>
      <c r="S22" s="101"/>
      <c r="T22" s="80"/>
      <c r="AA22" s="205" t="s">
        <v>42</v>
      </c>
      <c r="AB22" s="205"/>
      <c r="AC22" s="205"/>
      <c r="AD22" s="205"/>
      <c r="AE22" s="205"/>
    </row>
    <row r="23" spans="1:34" ht="15.75" x14ac:dyDescent="0.25">
      <c r="A23" s="80"/>
      <c r="B23" s="97"/>
      <c r="C23" s="86" t="s">
        <v>2</v>
      </c>
      <c r="D23" s="150">
        <f>I7</f>
        <v>107</v>
      </c>
      <c r="E23" s="103" t="s">
        <v>5</v>
      </c>
      <c r="F23" s="150">
        <f>I17</f>
        <v>105</v>
      </c>
      <c r="G23" s="104" t="s">
        <v>6</v>
      </c>
      <c r="H23" s="86">
        <f>D23-F23</f>
        <v>2</v>
      </c>
      <c r="I23" s="86" t="s">
        <v>7</v>
      </c>
      <c r="J23" s="86" t="s">
        <v>8</v>
      </c>
      <c r="K23" s="105" t="s">
        <v>9</v>
      </c>
      <c r="L23" s="99">
        <v>1000</v>
      </c>
      <c r="M23" s="86" t="s">
        <v>8</v>
      </c>
      <c r="N23" s="82">
        <f>D7</f>
        <v>3</v>
      </c>
      <c r="O23" s="86" t="s">
        <v>10</v>
      </c>
      <c r="P23" s="104"/>
      <c r="Q23" s="105"/>
      <c r="R23" s="106" t="s">
        <v>9</v>
      </c>
      <c r="S23" s="107">
        <f>H23*L23*N23</f>
        <v>6000</v>
      </c>
      <c r="T23" s="80"/>
      <c r="AA23" s="144" t="s">
        <v>43</v>
      </c>
      <c r="AB23" s="144" t="s">
        <v>44</v>
      </c>
      <c r="AC23" s="144" t="s">
        <v>45</v>
      </c>
      <c r="AD23" s="144" t="s">
        <v>46</v>
      </c>
      <c r="AE23" s="144" t="s">
        <v>47</v>
      </c>
    </row>
    <row r="24" spans="1:34" ht="15.75" x14ac:dyDescent="0.25">
      <c r="A24" s="80"/>
      <c r="B24" s="97"/>
      <c r="C24" s="86" t="s">
        <v>3</v>
      </c>
      <c r="D24" s="150">
        <f>I9</f>
        <v>106.8</v>
      </c>
      <c r="E24" s="103" t="s">
        <v>5</v>
      </c>
      <c r="F24" s="150">
        <f>I17</f>
        <v>105</v>
      </c>
      <c r="G24" s="104" t="s">
        <v>6</v>
      </c>
      <c r="H24" s="86">
        <f>D24-F24</f>
        <v>1.7999999999999972</v>
      </c>
      <c r="I24" s="86" t="s">
        <v>7</v>
      </c>
      <c r="J24" s="86" t="s">
        <v>8</v>
      </c>
      <c r="K24" s="105" t="s">
        <v>9</v>
      </c>
      <c r="L24" s="99">
        <v>1000</v>
      </c>
      <c r="M24" s="86" t="s">
        <v>8</v>
      </c>
      <c r="N24" s="82">
        <f>D9</f>
        <v>4</v>
      </c>
      <c r="O24" s="86" t="s">
        <v>10</v>
      </c>
      <c r="P24" s="104"/>
      <c r="Q24" s="105"/>
      <c r="R24" s="106" t="s">
        <v>9</v>
      </c>
      <c r="S24" s="107">
        <f>H24*L24*N24</f>
        <v>7199.9999999999891</v>
      </c>
      <c r="T24" s="80"/>
      <c r="AA24" s="141">
        <v>42711</v>
      </c>
      <c r="AB24" s="142">
        <v>1169.3499999999999</v>
      </c>
      <c r="AC24" s="142">
        <v>1180.2</v>
      </c>
      <c r="AD24" s="142">
        <v>1165.3499999999999</v>
      </c>
      <c r="AE24" s="142">
        <v>1172.3499999999999</v>
      </c>
    </row>
    <row r="25" spans="1:34" ht="15.75" x14ac:dyDescent="0.25">
      <c r="A25" s="80"/>
      <c r="B25" s="97"/>
      <c r="C25" s="86" t="s">
        <v>4</v>
      </c>
      <c r="D25" s="150">
        <f>I11</f>
        <v>106.6</v>
      </c>
      <c r="E25" s="103" t="s">
        <v>5</v>
      </c>
      <c r="F25" s="150">
        <f>I17</f>
        <v>105</v>
      </c>
      <c r="G25" s="104" t="s">
        <v>6</v>
      </c>
      <c r="H25" s="86">
        <f>D25-F25</f>
        <v>1.5999999999999943</v>
      </c>
      <c r="I25" s="86" t="s">
        <v>7</v>
      </c>
      <c r="J25" s="86" t="s">
        <v>8</v>
      </c>
      <c r="K25" s="105" t="s">
        <v>9</v>
      </c>
      <c r="L25" s="99">
        <v>1000</v>
      </c>
      <c r="M25" s="86" t="s">
        <v>8</v>
      </c>
      <c r="N25" s="82">
        <f>D11</f>
        <v>6</v>
      </c>
      <c r="O25" s="86" t="s">
        <v>10</v>
      </c>
      <c r="P25" s="104"/>
      <c r="Q25" s="105"/>
      <c r="R25" s="106" t="s">
        <v>9</v>
      </c>
      <c r="S25" s="107">
        <f>H25*L25*N25</f>
        <v>9599.9999999999654</v>
      </c>
      <c r="T25" s="108"/>
      <c r="AA25" s="141">
        <v>42710</v>
      </c>
      <c r="AB25" s="142">
        <v>1170.5</v>
      </c>
      <c r="AC25" s="142">
        <v>1175.3</v>
      </c>
      <c r="AD25" s="142">
        <v>1166.55</v>
      </c>
      <c r="AE25" s="142">
        <v>1169.55</v>
      </c>
    </row>
    <row r="26" spans="1:34" ht="15.75" x14ac:dyDescent="0.25">
      <c r="A26" s="80"/>
      <c r="B26" s="97"/>
      <c r="C26" s="86" t="s">
        <v>26</v>
      </c>
      <c r="D26" s="150">
        <f>I13</f>
        <v>106.4</v>
      </c>
      <c r="E26" s="103" t="s">
        <v>5</v>
      </c>
      <c r="F26" s="150">
        <f>I17</f>
        <v>105</v>
      </c>
      <c r="G26" s="104" t="s">
        <v>6</v>
      </c>
      <c r="H26" s="86">
        <f>D26-F26</f>
        <v>1.4000000000000057</v>
      </c>
      <c r="I26" s="86" t="s">
        <v>7</v>
      </c>
      <c r="J26" s="86" t="s">
        <v>8</v>
      </c>
      <c r="K26" s="105" t="s">
        <v>9</v>
      </c>
      <c r="L26" s="99">
        <v>1000</v>
      </c>
      <c r="M26" s="86" t="s">
        <v>8</v>
      </c>
      <c r="N26" s="82">
        <f>D13</f>
        <v>8</v>
      </c>
      <c r="O26" s="86" t="s">
        <v>10</v>
      </c>
      <c r="P26" s="104"/>
      <c r="Q26" s="105"/>
      <c r="R26" s="106" t="s">
        <v>9</v>
      </c>
      <c r="S26" s="107">
        <f>H26*L26*N26</f>
        <v>11200.000000000045</v>
      </c>
      <c r="T26" s="108"/>
      <c r="AA26" s="141">
        <v>42709</v>
      </c>
      <c r="AB26" s="142">
        <v>1177.0999999999999</v>
      </c>
      <c r="AC26" s="142">
        <v>1188.0999999999999</v>
      </c>
      <c r="AD26" s="142">
        <v>1157</v>
      </c>
      <c r="AE26" s="142">
        <v>1170.3499999999999</v>
      </c>
    </row>
    <row r="27" spans="1:34" ht="16.5" thickBot="1" x14ac:dyDescent="0.3">
      <c r="A27" s="80"/>
      <c r="B27" s="97"/>
      <c r="C27" s="86" t="s">
        <v>27</v>
      </c>
      <c r="D27" s="150">
        <f>I15</f>
        <v>0</v>
      </c>
      <c r="E27" s="103" t="s">
        <v>5</v>
      </c>
      <c r="F27" s="150">
        <f>I17</f>
        <v>105</v>
      </c>
      <c r="G27" s="104" t="s">
        <v>6</v>
      </c>
      <c r="H27" s="86">
        <f>D27-F27</f>
        <v>-105</v>
      </c>
      <c r="I27" s="86" t="s">
        <v>7</v>
      </c>
      <c r="J27" s="86" t="s">
        <v>8</v>
      </c>
      <c r="K27" s="105" t="s">
        <v>9</v>
      </c>
      <c r="L27" s="99">
        <v>1000</v>
      </c>
      <c r="M27" s="86" t="s">
        <v>8</v>
      </c>
      <c r="N27" s="82">
        <f>D15</f>
        <v>0</v>
      </c>
      <c r="O27" s="86" t="s">
        <v>10</v>
      </c>
      <c r="P27" s="104"/>
      <c r="Q27" s="105"/>
      <c r="R27" s="106" t="s">
        <v>9</v>
      </c>
      <c r="S27" s="107">
        <f>H27*L27*N27</f>
        <v>0</v>
      </c>
      <c r="T27" s="108"/>
      <c r="AA27" s="141">
        <v>42706</v>
      </c>
      <c r="AB27" s="142">
        <v>1172.2</v>
      </c>
      <c r="AC27" s="142">
        <v>1178.1500000000001</v>
      </c>
      <c r="AD27" s="142">
        <v>1166.5</v>
      </c>
      <c r="AE27" s="142">
        <v>1175.4000000000001</v>
      </c>
    </row>
    <row r="28" spans="1:34" ht="16.5" thickBot="1" x14ac:dyDescent="0.3">
      <c r="A28" s="80"/>
      <c r="B28" s="97"/>
      <c r="C28" s="87" t="s">
        <v>11</v>
      </c>
      <c r="D28" s="86"/>
      <c r="E28" s="98"/>
      <c r="F28" s="86"/>
      <c r="G28" s="86"/>
      <c r="H28" s="86"/>
      <c r="I28" s="86"/>
      <c r="J28" s="86"/>
      <c r="K28" s="86"/>
      <c r="L28" s="99"/>
      <c r="M28" s="86"/>
      <c r="N28" s="86"/>
      <c r="O28" s="86"/>
      <c r="P28" s="104"/>
      <c r="Q28" s="109"/>
      <c r="R28" s="110" t="s">
        <v>9</v>
      </c>
      <c r="S28" s="111">
        <f>S23+S24+S25+S26+S27</f>
        <v>34000</v>
      </c>
      <c r="T28" s="80"/>
      <c r="AA28" s="141">
        <v>42705</v>
      </c>
      <c r="AB28" s="142">
        <v>1173.3</v>
      </c>
      <c r="AC28" s="142">
        <v>1176.7</v>
      </c>
      <c r="AD28" s="142">
        <v>1160.5</v>
      </c>
      <c r="AE28" s="142">
        <v>1171.95</v>
      </c>
    </row>
    <row r="29" spans="1:34" ht="15" x14ac:dyDescent="0.2">
      <c r="A29" s="80"/>
      <c r="B29" s="97"/>
      <c r="C29" s="86"/>
      <c r="D29" s="86"/>
      <c r="E29" s="98"/>
      <c r="F29" s="86"/>
      <c r="G29" s="86"/>
      <c r="H29" s="86"/>
      <c r="I29" s="86"/>
      <c r="J29" s="86"/>
      <c r="K29" s="86"/>
      <c r="L29" s="99"/>
      <c r="M29" s="86"/>
      <c r="N29" s="86"/>
      <c r="O29" s="86"/>
      <c r="P29" s="104"/>
      <c r="Q29" s="105"/>
      <c r="R29" s="100"/>
      <c r="S29" s="112"/>
      <c r="T29" s="80"/>
    </row>
    <row r="30" spans="1:34" ht="15" x14ac:dyDescent="0.2">
      <c r="A30" s="80"/>
      <c r="B30" s="97" t="s">
        <v>16</v>
      </c>
      <c r="C30" s="87" t="s">
        <v>14</v>
      </c>
      <c r="D30" s="86"/>
      <c r="E30" s="98"/>
      <c r="F30" s="86"/>
      <c r="G30" s="86"/>
      <c r="H30" s="86"/>
      <c r="I30" s="86"/>
      <c r="J30" s="86"/>
      <c r="K30" s="86"/>
      <c r="L30" s="99"/>
      <c r="M30" s="86"/>
      <c r="N30" s="86"/>
      <c r="O30" s="86"/>
      <c r="P30" s="104"/>
      <c r="Q30" s="105"/>
      <c r="R30" s="100"/>
      <c r="S30" s="112"/>
      <c r="T30" s="80"/>
      <c r="AA30" s="205" t="s">
        <v>48</v>
      </c>
      <c r="AB30" s="205"/>
      <c r="AC30" s="205"/>
      <c r="AD30" s="205"/>
      <c r="AE30" s="205"/>
      <c r="AF30" s="205"/>
      <c r="AG30" s="205"/>
      <c r="AH30" s="205"/>
    </row>
    <row r="31" spans="1:34" ht="15.75" x14ac:dyDescent="0.25">
      <c r="A31" s="80"/>
      <c r="B31" s="97"/>
      <c r="C31" s="86" t="s">
        <v>2</v>
      </c>
      <c r="D31" s="146">
        <f>I5</f>
        <v>110</v>
      </c>
      <c r="E31" s="103" t="s">
        <v>5</v>
      </c>
      <c r="F31" s="145">
        <f>I7</f>
        <v>107</v>
      </c>
      <c r="G31" s="104" t="s">
        <v>6</v>
      </c>
      <c r="H31" s="147">
        <f>D31-F31</f>
        <v>3</v>
      </c>
      <c r="I31" s="82" t="s">
        <v>7</v>
      </c>
      <c r="J31" s="82" t="s">
        <v>8</v>
      </c>
      <c r="K31" s="115" t="s">
        <v>9</v>
      </c>
      <c r="L31" s="99">
        <v>1000</v>
      </c>
      <c r="M31" s="82" t="s">
        <v>8</v>
      </c>
      <c r="N31" s="82">
        <f>D7</f>
        <v>3</v>
      </c>
      <c r="O31" s="82" t="s">
        <v>10</v>
      </c>
      <c r="P31" s="104"/>
      <c r="Q31" s="86"/>
      <c r="R31" s="106" t="s">
        <v>9</v>
      </c>
      <c r="S31" s="148">
        <f>H31*L31*N31</f>
        <v>9000</v>
      </c>
      <c r="T31" s="80"/>
      <c r="AA31" s="144" t="s">
        <v>43</v>
      </c>
      <c r="AB31" s="144" t="s">
        <v>44</v>
      </c>
      <c r="AC31" s="144" t="s">
        <v>45</v>
      </c>
      <c r="AD31" s="144" t="s">
        <v>46</v>
      </c>
      <c r="AE31" s="144" t="s">
        <v>47</v>
      </c>
      <c r="AF31" s="144" t="s">
        <v>49</v>
      </c>
      <c r="AG31" s="144" t="s">
        <v>50</v>
      </c>
      <c r="AH31" s="144" t="s">
        <v>51</v>
      </c>
    </row>
    <row r="32" spans="1:34" ht="15.75" x14ac:dyDescent="0.25">
      <c r="A32" s="80"/>
      <c r="B32" s="97"/>
      <c r="C32" s="86" t="s">
        <v>3</v>
      </c>
      <c r="D32" s="146">
        <f>I5</f>
        <v>110</v>
      </c>
      <c r="E32" s="103" t="s">
        <v>5</v>
      </c>
      <c r="F32" s="145">
        <f>I9</f>
        <v>106.8</v>
      </c>
      <c r="G32" s="104" t="s">
        <v>6</v>
      </c>
      <c r="H32" s="147">
        <f>D32-F32</f>
        <v>3.2000000000000028</v>
      </c>
      <c r="I32" s="82" t="s">
        <v>7</v>
      </c>
      <c r="J32" s="82" t="s">
        <v>8</v>
      </c>
      <c r="K32" s="115" t="s">
        <v>9</v>
      </c>
      <c r="L32" s="99">
        <v>1000</v>
      </c>
      <c r="M32" s="82" t="s">
        <v>8</v>
      </c>
      <c r="N32" s="82">
        <f>D9</f>
        <v>4</v>
      </c>
      <c r="O32" s="82" t="s">
        <v>10</v>
      </c>
      <c r="P32" s="104"/>
      <c r="Q32" s="86"/>
      <c r="R32" s="106" t="s">
        <v>9</v>
      </c>
      <c r="S32" s="149">
        <f>H32*L32*N32</f>
        <v>12800.000000000011</v>
      </c>
      <c r="T32" s="80"/>
      <c r="AA32" s="141">
        <v>42711</v>
      </c>
      <c r="AB32" s="142">
        <v>22707</v>
      </c>
      <c r="AC32" s="142">
        <v>22852</v>
      </c>
      <c r="AD32" s="142">
        <v>22705</v>
      </c>
      <c r="AE32" s="142">
        <v>22794</v>
      </c>
      <c r="AF32" s="142">
        <v>129</v>
      </c>
      <c r="AG32" s="142">
        <v>76979</v>
      </c>
      <c r="AH32" s="142">
        <v>136459</v>
      </c>
    </row>
    <row r="33" spans="1:34" ht="15.75" x14ac:dyDescent="0.25">
      <c r="A33" s="80"/>
      <c r="B33" s="97"/>
      <c r="C33" s="86" t="s">
        <v>4</v>
      </c>
      <c r="D33" s="146">
        <f>I5</f>
        <v>110</v>
      </c>
      <c r="E33" s="103" t="s">
        <v>5</v>
      </c>
      <c r="F33" s="145">
        <f>I11</f>
        <v>106.6</v>
      </c>
      <c r="G33" s="104" t="s">
        <v>6</v>
      </c>
      <c r="H33" s="147">
        <f>D33-F33</f>
        <v>3.4000000000000057</v>
      </c>
      <c r="I33" s="82" t="s">
        <v>7</v>
      </c>
      <c r="J33" s="82" t="s">
        <v>8</v>
      </c>
      <c r="K33" s="115" t="s">
        <v>9</v>
      </c>
      <c r="L33" s="99">
        <v>1000</v>
      </c>
      <c r="M33" s="82" t="s">
        <v>8</v>
      </c>
      <c r="N33" s="82">
        <f>D11</f>
        <v>6</v>
      </c>
      <c r="O33" s="82" t="s">
        <v>10</v>
      </c>
      <c r="P33" s="104"/>
      <c r="Q33" s="86"/>
      <c r="R33" s="106" t="s">
        <v>9</v>
      </c>
      <c r="S33" s="149">
        <f>H33*L33*N33</f>
        <v>20400.000000000033</v>
      </c>
      <c r="T33" s="80"/>
      <c r="AA33" s="141">
        <v>42710</v>
      </c>
      <c r="AB33" s="142">
        <v>22596</v>
      </c>
      <c r="AC33" s="142">
        <v>22796</v>
      </c>
      <c r="AD33" s="142">
        <v>22564</v>
      </c>
      <c r="AE33" s="142">
        <v>22705</v>
      </c>
      <c r="AF33" s="142">
        <v>185</v>
      </c>
      <c r="AG33" s="142">
        <v>92016</v>
      </c>
      <c r="AH33" s="142">
        <v>140690</v>
      </c>
    </row>
    <row r="34" spans="1:34" ht="15.75" x14ac:dyDescent="0.25">
      <c r="A34" s="80"/>
      <c r="B34" s="97"/>
      <c r="C34" s="86" t="s">
        <v>26</v>
      </c>
      <c r="D34" s="146">
        <f>I5</f>
        <v>110</v>
      </c>
      <c r="E34" s="103" t="s">
        <v>5</v>
      </c>
      <c r="F34" s="145">
        <f>I13</f>
        <v>106.4</v>
      </c>
      <c r="G34" s="104" t="s">
        <v>6</v>
      </c>
      <c r="H34" s="147">
        <f>D34-F34</f>
        <v>3.5999999999999943</v>
      </c>
      <c r="I34" s="82" t="s">
        <v>7</v>
      </c>
      <c r="J34" s="82" t="s">
        <v>8</v>
      </c>
      <c r="K34" s="115" t="s">
        <v>9</v>
      </c>
      <c r="L34" s="99">
        <v>1000</v>
      </c>
      <c r="M34" s="82" t="s">
        <v>8</v>
      </c>
      <c r="N34" s="82">
        <f>D13</f>
        <v>8</v>
      </c>
      <c r="O34" s="82" t="s">
        <v>10</v>
      </c>
      <c r="P34" s="104"/>
      <c r="Q34" s="86"/>
      <c r="R34" s="106" t="s">
        <v>9</v>
      </c>
      <c r="S34" s="149">
        <f>H34*L34*N34</f>
        <v>28799.999999999956</v>
      </c>
      <c r="T34" s="80"/>
      <c r="AA34" s="141">
        <v>42709</v>
      </c>
      <c r="AB34" s="142">
        <v>22555</v>
      </c>
      <c r="AC34" s="142">
        <v>22710</v>
      </c>
      <c r="AD34" s="142">
        <v>22375</v>
      </c>
      <c r="AE34" s="142">
        <v>22580</v>
      </c>
      <c r="AF34" s="142">
        <v>127</v>
      </c>
      <c r="AG34" s="142">
        <v>119166</v>
      </c>
      <c r="AH34" s="142">
        <v>141746</v>
      </c>
    </row>
    <row r="35" spans="1:34" ht="16.5" thickBot="1" x14ac:dyDescent="0.3">
      <c r="A35" s="80"/>
      <c r="B35" s="97"/>
      <c r="C35" s="86" t="s">
        <v>27</v>
      </c>
      <c r="D35" s="146">
        <f>I5</f>
        <v>110</v>
      </c>
      <c r="E35" s="103" t="s">
        <v>5</v>
      </c>
      <c r="F35" s="145">
        <f>I15</f>
        <v>0</v>
      </c>
      <c r="G35" s="104" t="s">
        <v>6</v>
      </c>
      <c r="H35" s="147">
        <f>D35-F35</f>
        <v>110</v>
      </c>
      <c r="I35" s="82" t="s">
        <v>7</v>
      </c>
      <c r="J35" s="82" t="s">
        <v>8</v>
      </c>
      <c r="K35" s="115" t="s">
        <v>9</v>
      </c>
      <c r="L35" s="99">
        <v>1000</v>
      </c>
      <c r="M35" s="82" t="s">
        <v>8</v>
      </c>
      <c r="N35" s="82">
        <f>D15</f>
        <v>0</v>
      </c>
      <c r="O35" s="82" t="s">
        <v>10</v>
      </c>
      <c r="P35" s="104"/>
      <c r="Q35" s="86"/>
      <c r="R35" s="106" t="s">
        <v>9</v>
      </c>
      <c r="S35" s="149">
        <f>H35*L35*N35</f>
        <v>0</v>
      </c>
      <c r="T35" s="80"/>
      <c r="AA35" s="141">
        <v>42706</v>
      </c>
      <c r="AB35" s="142">
        <v>22891</v>
      </c>
      <c r="AC35" s="142">
        <v>22908</v>
      </c>
      <c r="AD35" s="142">
        <v>22532</v>
      </c>
      <c r="AE35" s="142">
        <v>22575</v>
      </c>
      <c r="AF35" s="142">
        <v>-375</v>
      </c>
      <c r="AG35" s="142">
        <v>100464</v>
      </c>
      <c r="AH35" s="142">
        <v>141605</v>
      </c>
    </row>
    <row r="36" spans="1:34" ht="16.5" thickBot="1" x14ac:dyDescent="0.3">
      <c r="A36" s="80"/>
      <c r="B36" s="97"/>
      <c r="C36" s="87" t="s">
        <v>12</v>
      </c>
      <c r="D36" s="82"/>
      <c r="E36" s="86"/>
      <c r="F36" s="82"/>
      <c r="G36" s="104"/>
      <c r="H36" s="82"/>
      <c r="I36" s="82"/>
      <c r="J36" s="82"/>
      <c r="K36" s="82"/>
      <c r="L36" s="86"/>
      <c r="M36" s="82"/>
      <c r="N36" s="86"/>
      <c r="O36" s="82"/>
      <c r="P36" s="104"/>
      <c r="Q36" s="86"/>
      <c r="R36" s="118" t="s">
        <v>9</v>
      </c>
      <c r="S36" s="119">
        <f>S31+S32+S33+S34+S35</f>
        <v>71000</v>
      </c>
      <c r="T36" s="80"/>
      <c r="AA36" s="141">
        <v>42705</v>
      </c>
      <c r="AB36" s="142">
        <v>22829</v>
      </c>
      <c r="AC36" s="142">
        <v>23018</v>
      </c>
      <c r="AD36" s="142">
        <v>22792</v>
      </c>
      <c r="AE36" s="142">
        <v>22893</v>
      </c>
      <c r="AF36" s="142">
        <v>124</v>
      </c>
      <c r="AG36" s="142">
        <v>102236</v>
      </c>
      <c r="AH36" s="142">
        <v>139381</v>
      </c>
    </row>
    <row r="37" spans="1:34" ht="15.75" x14ac:dyDescent="0.25">
      <c r="A37" s="80"/>
      <c r="B37" s="97"/>
      <c r="C37" s="86"/>
      <c r="D37" s="82"/>
      <c r="E37" s="86"/>
      <c r="F37" s="82"/>
      <c r="G37" s="104"/>
      <c r="H37" s="82"/>
      <c r="I37" s="82"/>
      <c r="J37" s="82"/>
      <c r="K37" s="82"/>
      <c r="L37" s="86"/>
      <c r="M37" s="82"/>
      <c r="N37" s="86"/>
      <c r="O37" s="82"/>
      <c r="P37" s="104"/>
      <c r="Q37" s="86"/>
      <c r="R37" s="106"/>
      <c r="S37" s="117"/>
      <c r="T37" s="80"/>
    </row>
    <row r="38" spans="1:34" ht="15.75" x14ac:dyDescent="0.25">
      <c r="A38" s="80"/>
      <c r="B38" s="97" t="s">
        <v>17</v>
      </c>
      <c r="C38" s="87" t="s">
        <v>18</v>
      </c>
      <c r="D38" s="82"/>
      <c r="E38" s="86"/>
      <c r="F38" s="82"/>
      <c r="G38" s="104"/>
      <c r="H38" s="82"/>
      <c r="I38" s="82"/>
      <c r="J38" s="82"/>
      <c r="K38" s="82"/>
      <c r="L38" s="86"/>
      <c r="M38" s="82"/>
      <c r="N38" s="86"/>
      <c r="O38" s="82"/>
      <c r="P38" s="104"/>
      <c r="Q38" s="86"/>
      <c r="R38" s="106"/>
      <c r="S38" s="117"/>
      <c r="T38" s="80"/>
      <c r="AA38" s="205" t="s">
        <v>52</v>
      </c>
      <c r="AB38" s="205"/>
      <c r="AC38" s="205"/>
      <c r="AD38" s="205"/>
      <c r="AE38" s="205"/>
      <c r="AF38" s="205"/>
      <c r="AG38" s="205"/>
    </row>
    <row r="39" spans="1:34" ht="15.75" x14ac:dyDescent="0.25">
      <c r="A39" s="80"/>
      <c r="B39" s="97"/>
      <c r="C39" s="86" t="s">
        <v>29</v>
      </c>
      <c r="D39" s="86"/>
      <c r="E39" s="86"/>
      <c r="F39" s="86"/>
      <c r="G39" s="210">
        <v>2000</v>
      </c>
      <c r="H39" s="210"/>
      <c r="I39" s="120"/>
      <c r="J39" s="86"/>
      <c r="K39" s="86"/>
      <c r="L39" s="86"/>
      <c r="M39" s="86"/>
      <c r="N39" s="86"/>
      <c r="O39" s="86"/>
      <c r="P39" s="86"/>
      <c r="Q39" s="86"/>
      <c r="R39" s="106"/>
      <c r="S39" s="121"/>
      <c r="T39" s="80"/>
      <c r="AA39" s="144" t="s">
        <v>43</v>
      </c>
      <c r="AB39" s="144" t="s">
        <v>44</v>
      </c>
      <c r="AC39" s="144" t="s">
        <v>45</v>
      </c>
      <c r="AD39" s="144" t="s">
        <v>46</v>
      </c>
      <c r="AE39" s="144" t="s">
        <v>47</v>
      </c>
      <c r="AF39" s="144" t="s">
        <v>49</v>
      </c>
      <c r="AG39" s="144" t="s">
        <v>50</v>
      </c>
    </row>
    <row r="40" spans="1:34" ht="15.75" x14ac:dyDescent="0.25">
      <c r="A40" s="80"/>
      <c r="B40" s="97"/>
      <c r="C40" s="86" t="str">
        <f>"Total Lot yang diperdagangkan  "&amp;D17&amp;"  Lot"</f>
        <v>Total Lot yang diperdagangkan  21  Lot</v>
      </c>
      <c r="D40" s="86"/>
      <c r="E40" s="86"/>
      <c r="F40" s="86"/>
      <c r="G40" s="86"/>
      <c r="H40" s="114"/>
      <c r="I40" s="122"/>
      <c r="J40" s="86"/>
      <c r="K40" s="86"/>
      <c r="L40" s="86"/>
      <c r="M40" s="86"/>
      <c r="N40" s="86"/>
      <c r="O40" s="86"/>
      <c r="P40" s="86"/>
      <c r="Q40" s="86"/>
      <c r="R40" s="106"/>
      <c r="S40" s="121"/>
      <c r="T40" s="80"/>
      <c r="AA40" s="141">
        <v>42711</v>
      </c>
      <c r="AB40" s="142">
        <v>18385</v>
      </c>
      <c r="AC40" s="142">
        <v>18625</v>
      </c>
      <c r="AD40" s="142">
        <v>18375</v>
      </c>
      <c r="AE40" s="142">
        <v>18580</v>
      </c>
      <c r="AF40" s="142">
        <v>195</v>
      </c>
      <c r="AG40" s="142">
        <v>123551</v>
      </c>
    </row>
    <row r="41" spans="1:34" ht="15.75" x14ac:dyDescent="0.25">
      <c r="A41" s="80"/>
      <c r="B41" s="97"/>
      <c r="C41" s="86" t="str">
        <f>"Maka jaminan yang dibutuhkan  :  $. 2.000 * " &amp;D17&amp;" Lot"</f>
        <v>Maka jaminan yang dibutuhkan  :  $. 2.000 * 21 Lot</v>
      </c>
      <c r="D41" s="86"/>
      <c r="E41" s="86"/>
      <c r="F41" s="86"/>
      <c r="G41" s="86"/>
      <c r="H41" s="86"/>
      <c r="I41" s="82"/>
      <c r="J41" s="86"/>
      <c r="K41" s="82"/>
      <c r="L41" s="82"/>
      <c r="M41" s="86"/>
      <c r="N41" s="86"/>
      <c r="O41" s="86"/>
      <c r="P41" s="104"/>
      <c r="Q41" s="104"/>
      <c r="R41" s="123" t="s">
        <v>9</v>
      </c>
      <c r="S41" s="117">
        <f>D17*G39</f>
        <v>42000</v>
      </c>
      <c r="T41" s="80"/>
      <c r="AA41" s="141">
        <v>42710</v>
      </c>
      <c r="AB41" s="142">
        <v>18445</v>
      </c>
      <c r="AC41" s="142">
        <v>18490</v>
      </c>
      <c r="AD41" s="142">
        <v>18310</v>
      </c>
      <c r="AE41" s="142">
        <v>18415</v>
      </c>
      <c r="AF41" s="142">
        <v>195</v>
      </c>
      <c r="AG41" s="142">
        <v>174079</v>
      </c>
    </row>
    <row r="42" spans="1:34" ht="15.75" x14ac:dyDescent="0.25">
      <c r="A42" s="80"/>
      <c r="B42" s="97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106"/>
      <c r="S42" s="121"/>
      <c r="T42" s="80"/>
      <c r="AA42" s="141">
        <v>42709</v>
      </c>
      <c r="AB42" s="142">
        <v>18300</v>
      </c>
      <c r="AC42" s="142">
        <v>18565</v>
      </c>
      <c r="AD42" s="142">
        <v>18225</v>
      </c>
      <c r="AE42" s="142">
        <v>18415</v>
      </c>
      <c r="AF42" s="142">
        <v>95</v>
      </c>
      <c r="AG42" s="142">
        <v>142508</v>
      </c>
    </row>
    <row r="43" spans="1:34" ht="15.75" x14ac:dyDescent="0.25">
      <c r="A43" s="80"/>
      <c r="B43" s="97"/>
      <c r="C43" s="87" t="s">
        <v>1</v>
      </c>
      <c r="D43" s="86"/>
      <c r="E43" s="86"/>
      <c r="F43" s="86"/>
      <c r="G43" s="86"/>
      <c r="H43" s="105"/>
      <c r="I43" s="86"/>
      <c r="J43" s="86"/>
      <c r="K43" s="124"/>
      <c r="L43" s="124"/>
      <c r="M43" s="86"/>
      <c r="N43" s="105"/>
      <c r="O43" s="125"/>
      <c r="P43" s="104"/>
      <c r="Q43" s="86"/>
      <c r="R43" s="106" t="s">
        <v>9</v>
      </c>
      <c r="S43" s="126">
        <f>S28</f>
        <v>34000</v>
      </c>
      <c r="T43" s="80"/>
      <c r="AA43" s="141">
        <v>42706</v>
      </c>
      <c r="AB43" s="142">
        <v>18450</v>
      </c>
      <c r="AC43" s="142">
        <v>18475</v>
      </c>
      <c r="AD43" s="142">
        <v>18245</v>
      </c>
      <c r="AE43" s="142">
        <v>18365</v>
      </c>
      <c r="AF43" s="142">
        <v>-55</v>
      </c>
      <c r="AG43" s="142">
        <v>125910</v>
      </c>
    </row>
    <row r="44" spans="1:34" ht="16.5" thickBot="1" x14ac:dyDescent="0.3">
      <c r="A44" s="80"/>
      <c r="B44" s="127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9"/>
      <c r="O44" s="130"/>
      <c r="P44" s="131"/>
      <c r="Q44" s="131"/>
      <c r="R44" s="132"/>
      <c r="S44" s="133"/>
      <c r="T44" s="80"/>
      <c r="AA44" s="141">
        <v>42705</v>
      </c>
      <c r="AB44" s="142">
        <v>18585</v>
      </c>
      <c r="AC44" s="142">
        <v>18750</v>
      </c>
      <c r="AD44" s="142">
        <v>18395</v>
      </c>
      <c r="AE44" s="142">
        <v>18425</v>
      </c>
      <c r="AF44" s="142">
        <v>50</v>
      </c>
      <c r="AG44" s="142">
        <v>166917</v>
      </c>
    </row>
    <row r="45" spans="1:34" ht="16.5" thickBot="1" x14ac:dyDescent="0.25">
      <c r="A45" s="80"/>
      <c r="B45" s="134"/>
      <c r="C45" s="135" t="s">
        <v>13</v>
      </c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7" t="s">
        <v>9</v>
      </c>
      <c r="S45" s="138">
        <f>S41+S43</f>
        <v>76000</v>
      </c>
      <c r="T45" s="80"/>
    </row>
    <row r="46" spans="1:34" ht="12.75" customHeight="1" x14ac:dyDescent="0.2">
      <c r="A46" s="80"/>
      <c r="B46" s="211">
        <f ca="1">TODAY()</f>
        <v>44518</v>
      </c>
      <c r="C46" s="211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1"/>
      <c r="S46" s="80"/>
      <c r="T46" s="80"/>
      <c r="AA46" s="205" t="s">
        <v>53</v>
      </c>
      <c r="AB46" s="205"/>
      <c r="AC46" s="205"/>
      <c r="AD46" s="205"/>
      <c r="AE46" s="205"/>
      <c r="AF46" s="205"/>
      <c r="AG46" s="205"/>
    </row>
    <row r="47" spans="1:34" x14ac:dyDescent="0.2">
      <c r="AA47" s="144" t="s">
        <v>43</v>
      </c>
      <c r="AB47" s="144" t="s">
        <v>44</v>
      </c>
      <c r="AC47" s="144" t="s">
        <v>45</v>
      </c>
      <c r="AD47" s="144" t="s">
        <v>46</v>
      </c>
      <c r="AE47" s="144" t="s">
        <v>47</v>
      </c>
      <c r="AF47" s="144" t="s">
        <v>49</v>
      </c>
      <c r="AG47" s="144" t="s">
        <v>50</v>
      </c>
    </row>
    <row r="48" spans="1:34" x14ac:dyDescent="0.2">
      <c r="AA48" s="141">
        <v>42711</v>
      </c>
      <c r="AB48" s="142">
        <v>0.74739999999999995</v>
      </c>
      <c r="AC48" s="142">
        <v>0.74829999999999997</v>
      </c>
      <c r="AD48" s="142">
        <v>0.74129999999999996</v>
      </c>
      <c r="AE48" s="142">
        <v>0.74790000000000001</v>
      </c>
      <c r="AF48" s="142">
        <v>0</v>
      </c>
      <c r="AG48" s="142">
        <v>0</v>
      </c>
    </row>
    <row r="49" spans="27:33" x14ac:dyDescent="0.2">
      <c r="AA49" s="141">
        <v>42710</v>
      </c>
      <c r="AB49" s="142">
        <v>0.74709999999999999</v>
      </c>
      <c r="AC49" s="142">
        <v>0.748</v>
      </c>
      <c r="AD49" s="142">
        <v>0.74280000000000002</v>
      </c>
      <c r="AE49" s="142">
        <v>0.746</v>
      </c>
      <c r="AF49" s="142">
        <v>0</v>
      </c>
      <c r="AG49" s="142">
        <v>0</v>
      </c>
    </row>
    <row r="50" spans="27:33" x14ac:dyDescent="0.2">
      <c r="AA50" s="141">
        <v>42709</v>
      </c>
      <c r="AB50" s="142">
        <v>0.74390000000000001</v>
      </c>
      <c r="AC50" s="142">
        <v>0.74980000000000002</v>
      </c>
      <c r="AD50" s="142">
        <v>0.74099999999999999</v>
      </c>
      <c r="AE50" s="142">
        <v>0.747</v>
      </c>
      <c r="AF50" s="142">
        <v>0</v>
      </c>
      <c r="AG50" s="142">
        <v>0</v>
      </c>
    </row>
    <row r="51" spans="27:33" x14ac:dyDescent="0.2">
      <c r="AA51" s="141">
        <v>42706</v>
      </c>
      <c r="AB51" s="142">
        <v>0.74209999999999998</v>
      </c>
      <c r="AC51" s="142">
        <v>0.74690000000000001</v>
      </c>
      <c r="AD51" s="142">
        <v>0.74</v>
      </c>
      <c r="AE51" s="142">
        <v>0.74470000000000003</v>
      </c>
      <c r="AF51" s="142">
        <v>0</v>
      </c>
      <c r="AG51" s="142">
        <v>0</v>
      </c>
    </row>
    <row r="52" spans="27:33" x14ac:dyDescent="0.2">
      <c r="AA52" s="141">
        <v>42705</v>
      </c>
      <c r="AB52" s="142">
        <v>0.73860000000000003</v>
      </c>
      <c r="AC52" s="142">
        <v>0.74199999999999999</v>
      </c>
      <c r="AD52" s="142">
        <v>0.7369</v>
      </c>
      <c r="AE52" s="142">
        <v>0.74180000000000001</v>
      </c>
      <c r="AF52" s="142">
        <v>0</v>
      </c>
      <c r="AG52" s="142">
        <v>0</v>
      </c>
    </row>
    <row r="54" spans="27:33" ht="12.75" customHeight="1" x14ac:dyDescent="0.2">
      <c r="AA54" s="205" t="s">
        <v>54</v>
      </c>
      <c r="AB54" s="205"/>
      <c r="AC54" s="205"/>
      <c r="AD54" s="205"/>
      <c r="AE54" s="205"/>
      <c r="AF54" s="205"/>
      <c r="AG54" s="205"/>
    </row>
    <row r="55" spans="27:33" x14ac:dyDescent="0.2">
      <c r="AA55" s="144" t="s">
        <v>43</v>
      </c>
      <c r="AB55" s="144" t="s">
        <v>44</v>
      </c>
      <c r="AC55" s="144" t="s">
        <v>45</v>
      </c>
      <c r="AD55" s="144" t="s">
        <v>46</v>
      </c>
      <c r="AE55" s="144" t="s">
        <v>47</v>
      </c>
      <c r="AF55" s="144" t="s">
        <v>49</v>
      </c>
      <c r="AG55" s="144" t="s">
        <v>50</v>
      </c>
    </row>
    <row r="56" spans="27:33" x14ac:dyDescent="0.2">
      <c r="AA56" s="141">
        <v>42711</v>
      </c>
      <c r="AB56" s="142">
        <v>1.0718000000000001</v>
      </c>
      <c r="AC56" s="142">
        <v>1.0768</v>
      </c>
      <c r="AD56" s="142">
        <v>1.0707</v>
      </c>
      <c r="AE56" s="142">
        <v>1.0762</v>
      </c>
      <c r="AF56" s="142">
        <v>0</v>
      </c>
      <c r="AG56" s="142">
        <v>0</v>
      </c>
    </row>
    <row r="57" spans="27:33" x14ac:dyDescent="0.2">
      <c r="AA57" s="141">
        <v>42710</v>
      </c>
      <c r="AB57" s="142">
        <v>1.0754999999999999</v>
      </c>
      <c r="AC57" s="142">
        <v>1.0785</v>
      </c>
      <c r="AD57" s="142">
        <v>1.0698000000000001</v>
      </c>
      <c r="AE57" s="142">
        <v>1.0721000000000001</v>
      </c>
      <c r="AF57" s="142">
        <v>0</v>
      </c>
      <c r="AG57" s="142">
        <v>0</v>
      </c>
    </row>
    <row r="58" spans="27:33" x14ac:dyDescent="0.2">
      <c r="AA58" s="141">
        <v>42709</v>
      </c>
      <c r="AB58" s="142">
        <v>1.0566</v>
      </c>
      <c r="AC58" s="142">
        <v>1.0795999999999999</v>
      </c>
      <c r="AD58" s="142">
        <v>1.0535000000000001</v>
      </c>
      <c r="AE58" s="142">
        <v>1.0762</v>
      </c>
      <c r="AF58" s="142">
        <v>0</v>
      </c>
      <c r="AG58" s="142">
        <v>0</v>
      </c>
    </row>
    <row r="59" spans="27:33" x14ac:dyDescent="0.2">
      <c r="AA59" s="141">
        <v>42706</v>
      </c>
      <c r="AB59" s="142">
        <v>1.0661</v>
      </c>
      <c r="AC59" s="142">
        <v>1.069</v>
      </c>
      <c r="AD59" s="142">
        <v>1.0623</v>
      </c>
      <c r="AE59" s="142">
        <v>1.0662</v>
      </c>
      <c r="AF59" s="142">
        <v>0</v>
      </c>
      <c r="AG59" s="142">
        <v>0</v>
      </c>
    </row>
    <row r="60" spans="27:33" x14ac:dyDescent="0.2">
      <c r="AA60" s="141">
        <v>42705</v>
      </c>
      <c r="AB60" s="142">
        <v>1.0589</v>
      </c>
      <c r="AC60" s="142">
        <v>1.0663</v>
      </c>
      <c r="AD60" s="142">
        <v>1.0583</v>
      </c>
      <c r="AE60" s="142">
        <v>1.0659000000000001</v>
      </c>
      <c r="AF60" s="142">
        <v>0</v>
      </c>
      <c r="AG60" s="142">
        <v>0</v>
      </c>
    </row>
    <row r="62" spans="27:33" ht="12.75" customHeight="1" x14ac:dyDescent="0.2">
      <c r="AA62" s="205" t="s">
        <v>55</v>
      </c>
      <c r="AB62" s="205"/>
      <c r="AC62" s="205"/>
      <c r="AD62" s="205"/>
      <c r="AE62" s="205"/>
      <c r="AF62" s="205"/>
      <c r="AG62" s="205"/>
    </row>
    <row r="63" spans="27:33" x14ac:dyDescent="0.2">
      <c r="AA63" s="144" t="s">
        <v>43</v>
      </c>
      <c r="AB63" s="144" t="s">
        <v>44</v>
      </c>
      <c r="AC63" s="144" t="s">
        <v>45</v>
      </c>
      <c r="AD63" s="144" t="s">
        <v>46</v>
      </c>
      <c r="AE63" s="144" t="s">
        <v>47</v>
      </c>
      <c r="AF63" s="144" t="s">
        <v>49</v>
      </c>
      <c r="AG63" s="144" t="s">
        <v>50</v>
      </c>
    </row>
    <row r="64" spans="27:33" x14ac:dyDescent="0.2">
      <c r="AA64" s="141">
        <v>42711</v>
      </c>
      <c r="AB64" s="142">
        <v>1.2625999999999999</v>
      </c>
      <c r="AC64" s="142">
        <v>1.2673000000000001</v>
      </c>
      <c r="AD64" s="142">
        <v>1.2568999999999999</v>
      </c>
      <c r="AE64" s="142">
        <v>1.2625999999999999</v>
      </c>
      <c r="AF64" s="142">
        <v>0</v>
      </c>
      <c r="AG64" s="142">
        <v>0</v>
      </c>
    </row>
    <row r="65" spans="27:33" x14ac:dyDescent="0.2">
      <c r="AA65" s="141">
        <v>42710</v>
      </c>
      <c r="AB65" s="142">
        <v>1.2724</v>
      </c>
      <c r="AC65" s="142">
        <v>1.2775000000000001</v>
      </c>
      <c r="AD65" s="142">
        <v>1.2654000000000001</v>
      </c>
      <c r="AE65" s="142">
        <v>1.2675000000000001</v>
      </c>
      <c r="AF65" s="142">
        <v>0</v>
      </c>
      <c r="AG65" s="142">
        <v>0</v>
      </c>
    </row>
    <row r="66" spans="27:33" x14ac:dyDescent="0.2">
      <c r="AA66" s="141">
        <v>42709</v>
      </c>
      <c r="AB66" s="142">
        <v>1.2668999999999999</v>
      </c>
      <c r="AC66" s="142">
        <v>1.2744</v>
      </c>
      <c r="AD66" s="142">
        <v>1.2654000000000001</v>
      </c>
      <c r="AE66" s="142">
        <v>1.2726</v>
      </c>
      <c r="AF66" s="142">
        <v>0</v>
      </c>
      <c r="AG66" s="142">
        <v>0</v>
      </c>
    </row>
    <row r="67" spans="27:33" x14ac:dyDescent="0.2">
      <c r="AA67" s="141">
        <v>42706</v>
      </c>
      <c r="AB67" s="142">
        <v>1.2586999999999999</v>
      </c>
      <c r="AC67" s="142">
        <v>1.2726999999999999</v>
      </c>
      <c r="AD67" s="142">
        <v>1.2567999999999999</v>
      </c>
      <c r="AE67" s="142">
        <v>1.2726999999999999</v>
      </c>
      <c r="AF67" s="142">
        <v>0</v>
      </c>
      <c r="AG67" s="142">
        <v>0</v>
      </c>
    </row>
    <row r="68" spans="27:33" x14ac:dyDescent="0.2">
      <c r="AA68" s="141">
        <v>42705</v>
      </c>
      <c r="AB68" s="142">
        <v>1.2513000000000001</v>
      </c>
      <c r="AC68" s="142">
        <v>1.2695000000000001</v>
      </c>
      <c r="AD68" s="142">
        <v>1.2504999999999999</v>
      </c>
      <c r="AE68" s="142">
        <v>1.2589999999999999</v>
      </c>
      <c r="AF68" s="142">
        <v>0</v>
      </c>
      <c r="AG68" s="142">
        <v>0</v>
      </c>
    </row>
    <row r="70" spans="27:33" ht="12.75" customHeight="1" x14ac:dyDescent="0.2">
      <c r="AA70" s="205" t="s">
        <v>56</v>
      </c>
      <c r="AB70" s="205"/>
      <c r="AC70" s="205"/>
      <c r="AD70" s="205"/>
      <c r="AE70" s="205"/>
      <c r="AF70" s="205"/>
      <c r="AG70" s="205"/>
    </row>
    <row r="71" spans="27:33" x14ac:dyDescent="0.2">
      <c r="AA71" s="144" t="s">
        <v>43</v>
      </c>
      <c r="AB71" s="144" t="s">
        <v>44</v>
      </c>
      <c r="AC71" s="144" t="s">
        <v>45</v>
      </c>
      <c r="AD71" s="144" t="s">
        <v>46</v>
      </c>
      <c r="AE71" s="144" t="s">
        <v>47</v>
      </c>
      <c r="AF71" s="144" t="s">
        <v>49</v>
      </c>
      <c r="AG71" s="144" t="s">
        <v>50</v>
      </c>
    </row>
    <row r="72" spans="27:33" x14ac:dyDescent="0.2">
      <c r="AA72" s="141">
        <v>42711</v>
      </c>
      <c r="AB72" s="142">
        <v>1.0101</v>
      </c>
      <c r="AC72" s="142">
        <v>1.0109999999999999</v>
      </c>
      <c r="AD72" s="142">
        <v>1.0063</v>
      </c>
      <c r="AE72" s="142">
        <v>1.0068999999999999</v>
      </c>
      <c r="AF72" s="142">
        <v>0</v>
      </c>
      <c r="AG72" s="142">
        <v>0</v>
      </c>
    </row>
    <row r="73" spans="27:33" x14ac:dyDescent="0.2">
      <c r="AA73" s="141">
        <v>42710</v>
      </c>
      <c r="AB73" s="142">
        <v>1.0071000000000001</v>
      </c>
      <c r="AC73" s="142">
        <v>1.0115000000000001</v>
      </c>
      <c r="AD73" s="142">
        <v>1.0044</v>
      </c>
      <c r="AE73" s="142">
        <v>1.0101</v>
      </c>
      <c r="AF73" s="142">
        <v>0</v>
      </c>
      <c r="AG73" s="142">
        <v>0</v>
      </c>
    </row>
    <row r="74" spans="27:33" x14ac:dyDescent="0.2">
      <c r="AA74" s="141">
        <v>42709</v>
      </c>
      <c r="AB74" s="142">
        <v>1.0145999999999999</v>
      </c>
      <c r="AC74" s="142">
        <v>1.0177</v>
      </c>
      <c r="AD74" s="142">
        <v>1.0045999999999999</v>
      </c>
      <c r="AE74" s="142">
        <v>1.0067999999999999</v>
      </c>
      <c r="AF74" s="142">
        <v>0</v>
      </c>
      <c r="AG74" s="142">
        <v>0</v>
      </c>
    </row>
    <row r="75" spans="27:33" x14ac:dyDescent="0.2">
      <c r="AA75" s="141">
        <v>42706</v>
      </c>
      <c r="AB75" s="142">
        <v>1.0105</v>
      </c>
      <c r="AC75" s="142">
        <v>1.0123</v>
      </c>
      <c r="AD75" s="142">
        <v>1.0066999999999999</v>
      </c>
      <c r="AE75" s="142">
        <v>1.0105999999999999</v>
      </c>
      <c r="AF75" s="142">
        <v>0</v>
      </c>
      <c r="AG75" s="142">
        <v>0</v>
      </c>
    </row>
    <row r="76" spans="27:33" x14ac:dyDescent="0.2">
      <c r="AA76" s="141">
        <v>42705</v>
      </c>
      <c r="AB76" s="142">
        <v>1.0168999999999999</v>
      </c>
      <c r="AC76" s="142">
        <v>1.0174000000000001</v>
      </c>
      <c r="AD76" s="142">
        <v>1.0101</v>
      </c>
      <c r="AE76" s="142">
        <v>1.0101</v>
      </c>
      <c r="AF76" s="142">
        <v>0</v>
      </c>
      <c r="AG76" s="142">
        <v>0</v>
      </c>
    </row>
    <row r="78" spans="27:33" ht="12.75" customHeight="1" x14ac:dyDescent="0.2">
      <c r="AA78" s="205" t="s">
        <v>57</v>
      </c>
      <c r="AB78" s="205"/>
      <c r="AC78" s="205"/>
      <c r="AD78" s="205"/>
      <c r="AE78" s="205"/>
      <c r="AF78" s="205"/>
      <c r="AG78" s="205"/>
    </row>
    <row r="79" spans="27:33" x14ac:dyDescent="0.2">
      <c r="AA79" s="144" t="s">
        <v>43</v>
      </c>
      <c r="AB79" s="144" t="s">
        <v>44</v>
      </c>
      <c r="AC79" s="144" t="s">
        <v>45</v>
      </c>
      <c r="AD79" s="144" t="s">
        <v>46</v>
      </c>
      <c r="AE79" s="144" t="s">
        <v>47</v>
      </c>
      <c r="AF79" s="144" t="s">
        <v>49</v>
      </c>
      <c r="AG79" s="144" t="s">
        <v>50</v>
      </c>
    </row>
    <row r="80" spans="27:33" x14ac:dyDescent="0.2">
      <c r="AA80" s="141">
        <v>42711</v>
      </c>
      <c r="AB80" s="142">
        <v>114.03</v>
      </c>
      <c r="AC80" s="142">
        <v>114.41</v>
      </c>
      <c r="AD80" s="142">
        <v>113.4</v>
      </c>
      <c r="AE80" s="142">
        <v>113.75</v>
      </c>
      <c r="AF80" s="142">
        <v>0</v>
      </c>
      <c r="AG80" s="142">
        <v>0</v>
      </c>
    </row>
    <row r="81" spans="27:33" x14ac:dyDescent="0.2">
      <c r="AA81" s="141">
        <v>42710</v>
      </c>
      <c r="AB81" s="142">
        <v>113.85</v>
      </c>
      <c r="AC81" s="142">
        <v>114.19</v>
      </c>
      <c r="AD81" s="142">
        <v>113.5</v>
      </c>
      <c r="AE81" s="142">
        <v>114.01</v>
      </c>
      <c r="AF81" s="142">
        <v>0</v>
      </c>
      <c r="AG81" s="142">
        <v>0</v>
      </c>
    </row>
    <row r="82" spans="27:33" x14ac:dyDescent="0.2">
      <c r="AA82" s="141">
        <v>42709</v>
      </c>
      <c r="AB82" s="142">
        <v>113.52</v>
      </c>
      <c r="AC82" s="142">
        <v>114.78</v>
      </c>
      <c r="AD82" s="142">
        <v>113.15</v>
      </c>
      <c r="AE82" s="142">
        <v>113.75</v>
      </c>
      <c r="AF82" s="142">
        <v>0</v>
      </c>
      <c r="AG82" s="142">
        <v>0</v>
      </c>
    </row>
    <row r="83" spans="27:33" x14ac:dyDescent="0.2">
      <c r="AA83" s="141">
        <v>42706</v>
      </c>
      <c r="AB83" s="142">
        <v>113.92</v>
      </c>
      <c r="AC83" s="142">
        <v>114.21</v>
      </c>
      <c r="AD83" s="142">
        <v>113.3</v>
      </c>
      <c r="AE83" s="142">
        <v>113.58</v>
      </c>
      <c r="AF83" s="142">
        <v>0</v>
      </c>
      <c r="AG83" s="142">
        <v>0</v>
      </c>
    </row>
    <row r="84" spans="27:33" x14ac:dyDescent="0.2">
      <c r="AA84" s="141">
        <v>42705</v>
      </c>
      <c r="AB84" s="142">
        <v>114.67</v>
      </c>
      <c r="AC84" s="142">
        <v>114.73</v>
      </c>
      <c r="AD84" s="142">
        <v>113.81</v>
      </c>
      <c r="AE84" s="142">
        <v>114.01</v>
      </c>
      <c r="AF84" s="142">
        <v>0</v>
      </c>
      <c r="AG84" s="142">
        <v>0</v>
      </c>
    </row>
  </sheetData>
  <mergeCells count="35">
    <mergeCell ref="B2:S2"/>
    <mergeCell ref="B4:G4"/>
    <mergeCell ref="K4:L4"/>
    <mergeCell ref="I5:K5"/>
    <mergeCell ref="D7:E8"/>
    <mergeCell ref="I7:K8"/>
    <mergeCell ref="N7:R8"/>
    <mergeCell ref="D9:E10"/>
    <mergeCell ref="I9:K10"/>
    <mergeCell ref="N9:R10"/>
    <mergeCell ref="D11:E12"/>
    <mergeCell ref="I11:K12"/>
    <mergeCell ref="N11:R12"/>
    <mergeCell ref="D13:E14"/>
    <mergeCell ref="I13:K14"/>
    <mergeCell ref="N13:R14"/>
    <mergeCell ref="D15:E16"/>
    <mergeCell ref="I15:K16"/>
    <mergeCell ref="N15:R16"/>
    <mergeCell ref="G39:H39"/>
    <mergeCell ref="B46:C46"/>
    <mergeCell ref="AA46:AG46"/>
    <mergeCell ref="D17:E17"/>
    <mergeCell ref="I17:K18"/>
    <mergeCell ref="N17:R18"/>
    <mergeCell ref="C18:F18"/>
    <mergeCell ref="B20:Q20"/>
    <mergeCell ref="R20:S20"/>
    <mergeCell ref="AA54:AG54"/>
    <mergeCell ref="AA62:AG62"/>
    <mergeCell ref="AA70:AG70"/>
    <mergeCell ref="AA78:AG78"/>
    <mergeCell ref="AA22:AE22"/>
    <mergeCell ref="AA30:AH30"/>
    <mergeCell ref="AA38:AG38"/>
  </mergeCells>
  <pageMargins left="0.75" right="0.75" top="1" bottom="1" header="0.5" footer="0.5"/>
  <pageSetup paperSize="9" scale="98" orientation="portrait" horizontalDpi="4294967294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X37"/>
  <sheetViews>
    <sheetView workbookViewId="0">
      <selection activeCell="X15" sqref="X15"/>
    </sheetView>
  </sheetViews>
  <sheetFormatPr defaultRowHeight="12.75" x14ac:dyDescent="0.2"/>
  <cols>
    <col min="1" max="1" width="8.140625" customWidth="1"/>
    <col min="2" max="2" width="3" customWidth="1"/>
    <col min="3" max="3" width="7.85546875" customWidth="1"/>
    <col min="4" max="4" width="9" customWidth="1"/>
    <col min="5" max="5" width="3" customWidth="1"/>
    <col min="6" max="6" width="7.7109375" customWidth="1"/>
    <col min="7" max="7" width="2.5703125" customWidth="1"/>
    <col min="8" max="8" width="7.140625" customWidth="1"/>
    <col min="9" max="9" width="4.140625" customWidth="1"/>
    <col min="10" max="10" width="4" customWidth="1"/>
    <col min="11" max="11" width="2.5703125" customWidth="1"/>
    <col min="12" max="12" width="5" bestFit="1" customWidth="1"/>
    <col min="13" max="13" width="1.5703125" customWidth="1"/>
    <col min="14" max="14" width="4.42578125" customWidth="1"/>
    <col min="15" max="15" width="1.42578125" customWidth="1"/>
    <col min="16" max="16" width="3.5703125" customWidth="1"/>
    <col min="17" max="17" width="1.5703125" customWidth="1"/>
    <col min="18" max="18" width="3.42578125" style="34" customWidth="1"/>
    <col min="19" max="19" width="16.7109375" customWidth="1"/>
    <col min="20" max="20" width="10.28515625" bestFit="1" customWidth="1"/>
    <col min="21" max="22" width="0" hidden="1" customWidth="1"/>
  </cols>
  <sheetData>
    <row r="1" spans="2:24" ht="30.75" customHeight="1" thickBot="1" x14ac:dyDescent="0.35">
      <c r="B1" s="189" t="s">
        <v>39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</row>
    <row r="2" spans="2:24" ht="13.5" thickTop="1" x14ac:dyDescent="0.2"/>
    <row r="3" spans="2:24" x14ac:dyDescent="0.2">
      <c r="B3" s="190" t="s">
        <v>19</v>
      </c>
      <c r="C3" s="190"/>
      <c r="D3" s="190"/>
      <c r="E3" s="190"/>
      <c r="F3" s="190"/>
      <c r="G3" s="190"/>
      <c r="K3" s="190"/>
      <c r="L3" s="190"/>
    </row>
    <row r="4" spans="2:24" x14ac:dyDescent="0.2">
      <c r="D4" s="1"/>
      <c r="I4" s="246">
        <v>114</v>
      </c>
      <c r="J4" s="246"/>
      <c r="K4" s="246"/>
      <c r="L4" s="24"/>
      <c r="M4" s="25"/>
      <c r="N4" s="190" t="s">
        <v>0</v>
      </c>
      <c r="O4" s="190"/>
      <c r="P4" s="190"/>
      <c r="Q4" s="190"/>
      <c r="R4" s="190"/>
    </row>
    <row r="5" spans="2:24" x14ac:dyDescent="0.2">
      <c r="D5" s="2"/>
      <c r="I5" s="165"/>
      <c r="J5" s="165"/>
      <c r="K5" s="165"/>
      <c r="L5" s="14"/>
      <c r="M5" s="25"/>
      <c r="N5" s="25"/>
      <c r="O5" s="25"/>
      <c r="P5" s="25"/>
      <c r="Q5" s="25"/>
      <c r="R5" s="35"/>
    </row>
    <row r="6" spans="2:24" x14ac:dyDescent="0.2">
      <c r="D6" s="180">
        <v>1</v>
      </c>
      <c r="E6" s="180"/>
      <c r="I6" s="245">
        <v>109</v>
      </c>
      <c r="J6" s="245"/>
      <c r="K6" s="245"/>
      <c r="L6" s="14"/>
      <c r="M6" s="25"/>
      <c r="N6" s="177" t="str">
        <f>"Buy "&amp;D6&amp;"  Lot"</f>
        <v>Buy 1  Lot</v>
      </c>
      <c r="O6" s="177"/>
      <c r="P6" s="177"/>
      <c r="Q6" s="177"/>
      <c r="R6" s="177"/>
      <c r="U6" t="s">
        <v>22</v>
      </c>
      <c r="V6">
        <v>10349</v>
      </c>
    </row>
    <row r="7" spans="2:24" x14ac:dyDescent="0.2">
      <c r="D7" s="180"/>
      <c r="E7" s="180"/>
      <c r="I7" s="245"/>
      <c r="J7" s="245"/>
      <c r="K7" s="245"/>
      <c r="L7" s="24"/>
      <c r="M7" s="25"/>
      <c r="N7" s="177"/>
      <c r="O7" s="177"/>
      <c r="P7" s="177"/>
      <c r="Q7" s="177"/>
      <c r="R7" s="177"/>
      <c r="U7" t="s">
        <v>23</v>
      </c>
      <c r="V7" s="43">
        <f>V6-S21</f>
        <v>3849</v>
      </c>
    </row>
    <row r="8" spans="2:24" x14ac:dyDescent="0.2">
      <c r="D8" s="180">
        <v>2</v>
      </c>
      <c r="E8" s="180"/>
      <c r="I8" s="245">
        <v>108.5</v>
      </c>
      <c r="J8" s="245"/>
      <c r="K8" s="245"/>
      <c r="L8" s="14"/>
      <c r="M8" s="25"/>
      <c r="N8" s="177" t="str">
        <f>"Buy "&amp;D8&amp;"  Lot"</f>
        <v>Buy 2  Lot</v>
      </c>
      <c r="O8" s="177"/>
      <c r="P8" s="177"/>
      <c r="Q8" s="177"/>
      <c r="R8" s="177"/>
      <c r="T8" s="42"/>
      <c r="U8" t="s">
        <v>24</v>
      </c>
      <c r="V8" t="e">
        <f>#REF!*1000</f>
        <v>#REF!</v>
      </c>
    </row>
    <row r="9" spans="2:24" x14ac:dyDescent="0.2">
      <c r="D9" s="180"/>
      <c r="E9" s="180"/>
      <c r="I9" s="245"/>
      <c r="J9" s="245"/>
      <c r="K9" s="245"/>
      <c r="L9" s="24"/>
      <c r="M9" s="25"/>
      <c r="N9" s="177"/>
      <c r="O9" s="177"/>
      <c r="P9" s="177"/>
      <c r="Q9" s="177"/>
      <c r="R9" s="177"/>
      <c r="S9" s="58"/>
      <c r="U9" t="s">
        <v>25</v>
      </c>
      <c r="V9" s="43" t="e">
        <f>V7-V8</f>
        <v>#REF!</v>
      </c>
    </row>
    <row r="10" spans="2:24" x14ac:dyDescent="0.2">
      <c r="D10" s="177">
        <v>3</v>
      </c>
      <c r="E10" s="177"/>
      <c r="I10" s="245">
        <v>107.5</v>
      </c>
      <c r="J10" s="245"/>
      <c r="K10" s="245"/>
      <c r="L10" s="14"/>
      <c r="M10" s="25"/>
      <c r="N10" s="177" t="str">
        <f>"Buy "&amp;D10&amp;"  Lot"</f>
        <v>Buy 3  Lot</v>
      </c>
      <c r="O10" s="177"/>
      <c r="P10" s="177"/>
      <c r="Q10" s="177"/>
      <c r="R10" s="177"/>
    </row>
    <row r="11" spans="2:24" x14ac:dyDescent="0.2">
      <c r="D11" s="177"/>
      <c r="E11" s="177"/>
      <c r="I11" s="245"/>
      <c r="J11" s="245"/>
      <c r="K11" s="245"/>
      <c r="L11" s="24"/>
      <c r="M11" s="25"/>
      <c r="N11" s="177"/>
      <c r="O11" s="177"/>
      <c r="P11" s="177"/>
      <c r="Q11" s="177"/>
      <c r="R11" s="177"/>
    </row>
    <row r="12" spans="2:24" x14ac:dyDescent="0.2">
      <c r="D12" s="179">
        <f>SUM(D6:D11)</f>
        <v>6</v>
      </c>
      <c r="E12" s="179"/>
      <c r="I12" s="245">
        <v>107</v>
      </c>
      <c r="J12" s="245"/>
      <c r="K12" s="245"/>
      <c r="N12" s="177" t="s">
        <v>58</v>
      </c>
      <c r="O12" s="177"/>
      <c r="P12" s="177"/>
      <c r="Q12" s="177"/>
      <c r="R12" s="177"/>
      <c r="S12" s="59"/>
    </row>
    <row r="13" spans="2:24" ht="15.75" x14ac:dyDescent="0.25">
      <c r="C13" s="186" t="s">
        <v>32</v>
      </c>
      <c r="D13" s="187"/>
      <c r="E13" s="187"/>
      <c r="F13" s="188"/>
      <c r="I13" s="245"/>
      <c r="J13" s="245"/>
      <c r="K13" s="245"/>
      <c r="N13" s="177"/>
      <c r="O13" s="177"/>
      <c r="P13" s="177"/>
      <c r="Q13" s="177"/>
      <c r="R13" s="177"/>
    </row>
    <row r="14" spans="2:24" ht="13.5" thickBot="1" x14ac:dyDescent="0.25"/>
    <row r="15" spans="2:24" ht="18.75" thickBot="1" x14ac:dyDescent="0.3">
      <c r="B15" s="181" t="s">
        <v>20</v>
      </c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3" t="s">
        <v>21</v>
      </c>
      <c r="S15" s="184"/>
      <c r="T15" s="70">
        <v>40</v>
      </c>
      <c r="X15" s="74"/>
    </row>
    <row r="16" spans="2:24" x14ac:dyDescent="0.2">
      <c r="B16" s="44"/>
      <c r="C16" s="45"/>
      <c r="D16" s="45"/>
      <c r="E16" s="45"/>
      <c r="F16" s="45"/>
      <c r="G16" s="45"/>
      <c r="H16" s="45"/>
      <c r="I16" s="45"/>
      <c r="J16" s="45"/>
      <c r="K16" s="45"/>
      <c r="L16" s="46"/>
      <c r="M16" s="45"/>
      <c r="N16" s="45"/>
      <c r="O16" s="45"/>
      <c r="P16" s="45"/>
      <c r="Q16" s="45"/>
      <c r="R16" s="36"/>
      <c r="S16" s="30"/>
    </row>
    <row r="17" spans="2:20" x14ac:dyDescent="0.2">
      <c r="B17" s="15" t="s">
        <v>15</v>
      </c>
      <c r="C17" s="14" t="s">
        <v>1</v>
      </c>
      <c r="D17" s="2"/>
      <c r="E17" s="64"/>
      <c r="F17" s="2"/>
      <c r="G17" s="2"/>
      <c r="H17" s="2"/>
      <c r="I17" s="2"/>
      <c r="J17" s="2"/>
      <c r="K17" s="2"/>
      <c r="L17" s="39"/>
      <c r="M17" s="2"/>
      <c r="N17" s="2"/>
      <c r="O17" s="2"/>
      <c r="P17" s="2"/>
      <c r="Q17" s="2"/>
      <c r="R17" s="33"/>
      <c r="S17" s="3"/>
    </row>
    <row r="18" spans="2:20" ht="15.75" x14ac:dyDescent="0.25">
      <c r="B18" s="15"/>
      <c r="C18" s="2" t="s">
        <v>2</v>
      </c>
      <c r="D18" s="170">
        <f>I6</f>
        <v>109</v>
      </c>
      <c r="E18" s="65" t="s">
        <v>5</v>
      </c>
      <c r="F18" s="170">
        <f>I12</f>
        <v>107</v>
      </c>
      <c r="G18" s="5" t="s">
        <v>6</v>
      </c>
      <c r="H18" s="2">
        <f>D18-F18</f>
        <v>2</v>
      </c>
      <c r="I18" s="2" t="s">
        <v>7</v>
      </c>
      <c r="J18" s="2" t="s">
        <v>8</v>
      </c>
      <c r="K18" s="6" t="s">
        <v>9</v>
      </c>
      <c r="L18" s="39">
        <v>1000</v>
      </c>
      <c r="M18" s="2" t="s">
        <v>8</v>
      </c>
      <c r="N18" s="29">
        <f>D6</f>
        <v>1</v>
      </c>
      <c r="O18" s="2" t="s">
        <v>10</v>
      </c>
      <c r="P18" s="5"/>
      <c r="Q18" s="6"/>
      <c r="R18" s="31" t="s">
        <v>9</v>
      </c>
      <c r="S18" s="56">
        <f>H18*L18*N18</f>
        <v>2000</v>
      </c>
    </row>
    <row r="19" spans="2:20" ht="15.75" x14ac:dyDescent="0.25">
      <c r="B19" s="15"/>
      <c r="C19" s="2" t="s">
        <v>3</v>
      </c>
      <c r="D19" s="170">
        <f>I8</f>
        <v>108.5</v>
      </c>
      <c r="E19" s="65" t="s">
        <v>5</v>
      </c>
      <c r="F19" s="170">
        <f>I12</f>
        <v>107</v>
      </c>
      <c r="G19" s="5" t="s">
        <v>6</v>
      </c>
      <c r="H19" s="2">
        <f>D19-F19</f>
        <v>1.5</v>
      </c>
      <c r="I19" s="2" t="s">
        <v>7</v>
      </c>
      <c r="J19" s="2" t="s">
        <v>8</v>
      </c>
      <c r="K19" s="6" t="s">
        <v>9</v>
      </c>
      <c r="L19" s="39">
        <v>1000</v>
      </c>
      <c r="M19" s="2" t="s">
        <v>8</v>
      </c>
      <c r="N19" s="29">
        <f>D8</f>
        <v>2</v>
      </c>
      <c r="O19" s="2" t="s">
        <v>10</v>
      </c>
      <c r="P19" s="5"/>
      <c r="Q19" s="6"/>
      <c r="R19" s="31" t="s">
        <v>9</v>
      </c>
      <c r="S19" s="56">
        <f>H19*L19*N19</f>
        <v>3000</v>
      </c>
    </row>
    <row r="20" spans="2:20" ht="16.5" thickBot="1" x14ac:dyDescent="0.3">
      <c r="B20" s="15"/>
      <c r="C20" s="2" t="s">
        <v>4</v>
      </c>
      <c r="D20" s="170">
        <f>I10</f>
        <v>107.5</v>
      </c>
      <c r="E20" s="65" t="s">
        <v>5</v>
      </c>
      <c r="F20" s="170">
        <f>I12</f>
        <v>107</v>
      </c>
      <c r="G20" s="5" t="s">
        <v>6</v>
      </c>
      <c r="H20" s="2">
        <f>D20-F20</f>
        <v>0.5</v>
      </c>
      <c r="I20" s="2" t="s">
        <v>7</v>
      </c>
      <c r="J20" s="2" t="s">
        <v>8</v>
      </c>
      <c r="K20" s="6" t="s">
        <v>9</v>
      </c>
      <c r="L20" s="39">
        <v>1000</v>
      </c>
      <c r="M20" s="2" t="s">
        <v>8</v>
      </c>
      <c r="N20" s="29">
        <f>D10</f>
        <v>3</v>
      </c>
      <c r="O20" s="2" t="s">
        <v>10</v>
      </c>
      <c r="P20" s="5"/>
      <c r="Q20" s="6"/>
      <c r="R20" s="31" t="s">
        <v>9</v>
      </c>
      <c r="S20" s="56">
        <f>H20*L20*N20</f>
        <v>1500</v>
      </c>
      <c r="T20" s="166"/>
    </row>
    <row r="21" spans="2:20" ht="16.5" thickBot="1" x14ac:dyDescent="0.3">
      <c r="B21" s="15"/>
      <c r="C21" s="14" t="s">
        <v>11</v>
      </c>
      <c r="D21" s="2"/>
      <c r="E21" s="64"/>
      <c r="F21" s="2"/>
      <c r="G21" s="2"/>
      <c r="H21" s="2"/>
      <c r="I21" s="2"/>
      <c r="J21" s="2"/>
      <c r="K21" s="2"/>
      <c r="L21" s="39"/>
      <c r="M21" s="2"/>
      <c r="N21" s="39"/>
      <c r="O21" s="2"/>
      <c r="P21" s="5"/>
      <c r="Q21" s="55"/>
      <c r="R21" s="54" t="s">
        <v>9</v>
      </c>
      <c r="S21" s="57">
        <f>SUM(S18:S20)</f>
        <v>6500</v>
      </c>
    </row>
    <row r="22" spans="2:20" ht="15" x14ac:dyDescent="0.2">
      <c r="B22" s="15"/>
      <c r="C22" s="2"/>
      <c r="D22" s="2"/>
      <c r="E22" s="64"/>
      <c r="F22" s="2"/>
      <c r="G22" s="2"/>
      <c r="H22" s="2"/>
      <c r="I22" s="2"/>
      <c r="J22" s="2"/>
      <c r="K22" s="2"/>
      <c r="L22" s="39"/>
      <c r="M22" s="2"/>
      <c r="N22" s="39"/>
      <c r="O22" s="2"/>
      <c r="P22" s="5"/>
      <c r="Q22" s="6"/>
      <c r="R22" s="33"/>
      <c r="S22" s="21"/>
    </row>
    <row r="23" spans="2:20" ht="15" x14ac:dyDescent="0.2">
      <c r="B23" s="15" t="s">
        <v>16</v>
      </c>
      <c r="C23" s="14" t="s">
        <v>14</v>
      </c>
      <c r="D23" s="2"/>
      <c r="E23" s="64"/>
      <c r="F23" s="2"/>
      <c r="G23" s="2"/>
      <c r="H23" s="2"/>
      <c r="I23" s="2"/>
      <c r="J23" s="2"/>
      <c r="K23" s="2"/>
      <c r="L23" s="39"/>
      <c r="M23" s="2"/>
      <c r="N23" s="39"/>
      <c r="O23" s="2"/>
      <c r="P23" s="5"/>
      <c r="Q23" s="6"/>
      <c r="R23" s="33"/>
      <c r="S23" s="21"/>
    </row>
    <row r="24" spans="2:20" ht="15.75" x14ac:dyDescent="0.25">
      <c r="B24" s="15"/>
      <c r="C24" s="2" t="s">
        <v>2</v>
      </c>
      <c r="D24" s="168">
        <f>I4</f>
        <v>114</v>
      </c>
      <c r="E24" s="65" t="s">
        <v>5</v>
      </c>
      <c r="F24" s="169">
        <f>I6</f>
        <v>109</v>
      </c>
      <c r="G24" s="5" t="s">
        <v>6</v>
      </c>
      <c r="H24" s="1">
        <f>D24-F24</f>
        <v>5</v>
      </c>
      <c r="I24" s="1" t="s">
        <v>7</v>
      </c>
      <c r="J24" s="11" t="s">
        <v>8</v>
      </c>
      <c r="K24" s="27" t="s">
        <v>9</v>
      </c>
      <c r="L24" s="39">
        <v>1000</v>
      </c>
      <c r="M24" s="11" t="s">
        <v>8</v>
      </c>
      <c r="N24" s="29">
        <f>D6</f>
        <v>1</v>
      </c>
      <c r="O24" s="11" t="s">
        <v>10</v>
      </c>
      <c r="P24" s="5"/>
      <c r="Q24" s="2"/>
      <c r="R24" s="31" t="s">
        <v>9</v>
      </c>
      <c r="S24" s="40">
        <f>H24*L24*N24</f>
        <v>5000</v>
      </c>
    </row>
    <row r="25" spans="2:20" ht="15.75" x14ac:dyDescent="0.25">
      <c r="B25" s="15"/>
      <c r="C25" s="2" t="s">
        <v>3</v>
      </c>
      <c r="D25" s="168">
        <f>I4</f>
        <v>114</v>
      </c>
      <c r="E25" s="65" t="s">
        <v>5</v>
      </c>
      <c r="F25" s="169">
        <f>I8</f>
        <v>108.5</v>
      </c>
      <c r="G25" s="5" t="s">
        <v>6</v>
      </c>
      <c r="H25" s="1">
        <f>D25-F25</f>
        <v>5.5</v>
      </c>
      <c r="I25" s="1" t="s">
        <v>7</v>
      </c>
      <c r="J25" s="11" t="s">
        <v>8</v>
      </c>
      <c r="K25" s="27" t="s">
        <v>9</v>
      </c>
      <c r="L25" s="39">
        <v>1000</v>
      </c>
      <c r="M25" s="11" t="s">
        <v>8</v>
      </c>
      <c r="N25" s="29">
        <f>D8</f>
        <v>2</v>
      </c>
      <c r="O25" s="11" t="s">
        <v>10</v>
      </c>
      <c r="P25" s="5"/>
      <c r="Q25" s="2"/>
      <c r="R25" s="31" t="s">
        <v>9</v>
      </c>
      <c r="S25" s="20">
        <f>H25*L25*N25</f>
        <v>11000</v>
      </c>
    </row>
    <row r="26" spans="2:20" ht="16.5" thickBot="1" x14ac:dyDescent="0.3">
      <c r="B26" s="15"/>
      <c r="C26" s="2" t="s">
        <v>4</v>
      </c>
      <c r="D26" s="168">
        <f>I4</f>
        <v>114</v>
      </c>
      <c r="E26" s="65" t="s">
        <v>5</v>
      </c>
      <c r="F26" s="169">
        <f>I10</f>
        <v>107.5</v>
      </c>
      <c r="G26" s="5" t="s">
        <v>6</v>
      </c>
      <c r="H26" s="1">
        <f>D26-F26</f>
        <v>6.5</v>
      </c>
      <c r="I26" s="1" t="s">
        <v>7</v>
      </c>
      <c r="J26" s="11" t="s">
        <v>8</v>
      </c>
      <c r="K26" s="27" t="s">
        <v>9</v>
      </c>
      <c r="L26" s="39">
        <v>1000</v>
      </c>
      <c r="M26" s="11" t="s">
        <v>8</v>
      </c>
      <c r="N26" s="29">
        <f>D10</f>
        <v>3</v>
      </c>
      <c r="O26" s="11" t="s">
        <v>10</v>
      </c>
      <c r="P26" s="5"/>
      <c r="Q26" s="2"/>
      <c r="R26" s="31" t="s">
        <v>9</v>
      </c>
      <c r="S26" s="20">
        <f>H26*L26*N26</f>
        <v>19500</v>
      </c>
    </row>
    <row r="27" spans="2:20" ht="16.5" thickBot="1" x14ac:dyDescent="0.3">
      <c r="B27" s="15"/>
      <c r="C27" s="14" t="s">
        <v>12</v>
      </c>
      <c r="D27" s="1"/>
      <c r="E27" s="2"/>
      <c r="F27" s="1"/>
      <c r="G27" s="5"/>
      <c r="H27" s="1"/>
      <c r="I27" s="1"/>
      <c r="J27" s="11"/>
      <c r="K27" s="11"/>
      <c r="L27" s="2"/>
      <c r="M27" s="11"/>
      <c r="N27" s="2"/>
      <c r="O27" s="11"/>
      <c r="P27" s="5"/>
      <c r="Q27" s="2"/>
      <c r="R27" s="32" t="s">
        <v>9</v>
      </c>
      <c r="S27" s="19">
        <f>SUM(S24:S26)</f>
        <v>35500</v>
      </c>
    </row>
    <row r="28" spans="2:20" ht="15.75" x14ac:dyDescent="0.25">
      <c r="B28" s="15"/>
      <c r="C28" s="2"/>
      <c r="D28" s="1"/>
      <c r="E28" s="2"/>
      <c r="F28" s="1"/>
      <c r="G28" s="5"/>
      <c r="H28" s="1"/>
      <c r="I28" s="1"/>
      <c r="J28" s="11"/>
      <c r="K28" s="11"/>
      <c r="L28" s="2"/>
      <c r="M28" s="11"/>
      <c r="N28" s="2"/>
      <c r="O28" s="11"/>
      <c r="P28" s="5"/>
      <c r="Q28" s="2"/>
      <c r="R28" s="31"/>
      <c r="S28" s="20"/>
    </row>
    <row r="29" spans="2:20" ht="15.75" x14ac:dyDescent="0.25">
      <c r="B29" s="15" t="s">
        <v>17</v>
      </c>
      <c r="C29" s="16" t="s">
        <v>18</v>
      </c>
      <c r="D29" s="1"/>
      <c r="E29" s="2"/>
      <c r="F29" s="1"/>
      <c r="G29" s="5"/>
      <c r="H29" s="1"/>
      <c r="I29" s="1"/>
      <c r="J29" s="11"/>
      <c r="K29" s="11"/>
      <c r="L29" s="2"/>
      <c r="M29" s="11"/>
      <c r="N29" s="2"/>
      <c r="O29" s="11"/>
      <c r="P29" s="5"/>
      <c r="Q29" s="2"/>
      <c r="R29" s="31"/>
      <c r="S29" s="20"/>
    </row>
    <row r="30" spans="2:20" ht="15.75" x14ac:dyDescent="0.25">
      <c r="B30" s="15"/>
      <c r="C30" s="2" t="s">
        <v>29</v>
      </c>
      <c r="D30" s="2"/>
      <c r="E30" s="2"/>
      <c r="F30" s="2"/>
      <c r="G30" s="175">
        <v>2000</v>
      </c>
      <c r="H30" s="175"/>
      <c r="I30" s="28"/>
      <c r="J30" s="2"/>
      <c r="K30" s="2"/>
      <c r="L30" s="2"/>
      <c r="M30" s="2"/>
      <c r="N30" s="2"/>
      <c r="O30" s="2"/>
      <c r="P30" s="2"/>
      <c r="Q30" s="2"/>
      <c r="R30" s="31"/>
      <c r="S30" s="22"/>
    </row>
    <row r="31" spans="2:20" ht="15.75" x14ac:dyDescent="0.25">
      <c r="B31" s="15"/>
      <c r="C31" s="2" t="str">
        <f>"Total Lot yang diperdagangkan "&amp;D12&amp;" Lot"</f>
        <v>Total Lot yang diperdagangkan 6 Lot</v>
      </c>
      <c r="D31" s="2"/>
      <c r="E31" s="2"/>
      <c r="F31" s="2"/>
      <c r="G31" s="2"/>
      <c r="H31" s="29"/>
      <c r="I31" s="8"/>
      <c r="J31" s="2"/>
      <c r="K31" s="2"/>
      <c r="L31" s="2"/>
      <c r="M31" s="2"/>
      <c r="N31" s="2"/>
      <c r="O31" s="2"/>
      <c r="P31" s="2"/>
      <c r="Q31" s="2"/>
      <c r="R31" s="31"/>
      <c r="S31" s="22"/>
    </row>
    <row r="32" spans="2:20" ht="15.75" x14ac:dyDescent="0.25">
      <c r="B32" s="15"/>
      <c r="C32" s="2" t="str">
        <f>"Maka jaminan yang dibutuhkan  :  $. 2.000 * "&amp;D14&amp;" Lot"</f>
        <v>Maka jaminan yang dibutuhkan  :  $. 2.000 *  Lot</v>
      </c>
      <c r="D32" s="2"/>
      <c r="E32" s="2"/>
      <c r="F32" s="2"/>
      <c r="G32" s="2"/>
      <c r="H32" s="2"/>
      <c r="I32" s="1"/>
      <c r="J32" s="2"/>
      <c r="K32" s="1"/>
      <c r="L32" s="1"/>
      <c r="M32" s="2"/>
      <c r="N32" s="2"/>
      <c r="O32" s="2"/>
      <c r="P32" s="5"/>
      <c r="Q32" s="5"/>
      <c r="R32" s="37" t="s">
        <v>9</v>
      </c>
      <c r="S32" s="20">
        <f>D12*G30</f>
        <v>12000</v>
      </c>
    </row>
    <row r="33" spans="2:19" ht="15.75" x14ac:dyDescent="0.25">
      <c r="B33" s="1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1"/>
      <c r="S33" s="22"/>
    </row>
    <row r="34" spans="2:19" ht="15.75" x14ac:dyDescent="0.25">
      <c r="B34" s="15"/>
      <c r="C34" s="16" t="s">
        <v>1</v>
      </c>
      <c r="D34" s="2"/>
      <c r="E34" s="2"/>
      <c r="F34" s="2"/>
      <c r="G34" s="2"/>
      <c r="H34" s="6"/>
      <c r="I34" s="2"/>
      <c r="J34" s="2"/>
      <c r="K34" s="9"/>
      <c r="L34" s="9"/>
      <c r="M34" s="2"/>
      <c r="N34" s="6"/>
      <c r="O34" s="167"/>
      <c r="P34" s="5"/>
      <c r="Q34" s="2"/>
      <c r="R34" s="31" t="s">
        <v>9</v>
      </c>
      <c r="S34" s="23">
        <f>S21</f>
        <v>6500</v>
      </c>
    </row>
    <row r="35" spans="2:19" ht="16.5" thickBot="1" x14ac:dyDescent="0.3">
      <c r="B35" s="47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9"/>
      <c r="O35" s="50"/>
      <c r="P35" s="51"/>
      <c r="Q35" s="51"/>
      <c r="R35" s="52"/>
      <c r="S35" s="53"/>
    </row>
    <row r="36" spans="2:19" ht="16.5" thickBot="1" x14ac:dyDescent="0.25">
      <c r="B36" s="10"/>
      <c r="C36" s="17" t="s">
        <v>13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38" t="s">
        <v>9</v>
      </c>
      <c r="S36" s="26">
        <f>S32+S34</f>
        <v>18500</v>
      </c>
    </row>
    <row r="37" spans="2:19" x14ac:dyDescent="0.2">
      <c r="B37" s="176">
        <f ca="1">TODAY()</f>
        <v>44518</v>
      </c>
      <c r="C37" s="176"/>
    </row>
  </sheetData>
  <mergeCells count="22">
    <mergeCell ref="D6:E7"/>
    <mergeCell ref="I6:K7"/>
    <mergeCell ref="N6:R7"/>
    <mergeCell ref="B1:S1"/>
    <mergeCell ref="B3:G3"/>
    <mergeCell ref="K3:L3"/>
    <mergeCell ref="I4:K4"/>
    <mergeCell ref="N4:R4"/>
    <mergeCell ref="D8:E9"/>
    <mergeCell ref="I8:K9"/>
    <mergeCell ref="N8:R9"/>
    <mergeCell ref="D10:E11"/>
    <mergeCell ref="I10:K11"/>
    <mergeCell ref="N10:R11"/>
    <mergeCell ref="G30:H30"/>
    <mergeCell ref="B37:C37"/>
    <mergeCell ref="D12:E12"/>
    <mergeCell ref="I12:K13"/>
    <mergeCell ref="N12:R13"/>
    <mergeCell ref="C13:F13"/>
    <mergeCell ref="B15:Q15"/>
    <mergeCell ref="R15:S15"/>
  </mergeCells>
  <pageMargins left="0.63" right="0.55000000000000004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B3G</vt:lpstr>
      <vt:lpstr>B4G</vt:lpstr>
      <vt:lpstr>B5G</vt:lpstr>
      <vt:lpstr>B8G</vt:lpstr>
      <vt:lpstr>S3G</vt:lpstr>
      <vt:lpstr>S4G</vt:lpstr>
      <vt:lpstr>S5G</vt:lpstr>
      <vt:lpstr>Sheet1</vt:lpstr>
      <vt:lpstr>YEN</vt:lpstr>
      <vt:lpstr>Sheet2</vt:lpstr>
      <vt:lpstr>B3G!Print_Area</vt:lpstr>
      <vt:lpstr>B4G!Print_Area</vt:lpstr>
      <vt:lpstr>B5G!Print_Area</vt:lpstr>
      <vt:lpstr>B8G!Print_Area</vt:lpstr>
      <vt:lpstr>S3G!Print_Area</vt:lpstr>
      <vt:lpstr>S4G!Print_Area</vt:lpstr>
      <vt:lpstr>S5G!Print_Area</vt:lpstr>
      <vt:lpstr>Sheet2!Print_Area</vt:lpstr>
      <vt:lpstr>YEN!Print_Area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2020-02-06T01:31:41Z</cp:lastPrinted>
  <dcterms:created xsi:type="dcterms:W3CDTF">2003-04-25T05:59:55Z</dcterms:created>
  <dcterms:modified xsi:type="dcterms:W3CDTF">2021-11-18T02:25:58Z</dcterms:modified>
</cp:coreProperties>
</file>